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EXCEL DASHBOARD 2/"/>
    </mc:Choice>
  </mc:AlternateContent>
  <xr:revisionPtr revIDLastSave="578" documentId="13_ncr:1_{4290AD4F-2212-4EE0-819D-2213EDBF8B2C}" xr6:coauthVersionLast="47" xr6:coauthVersionMax="47" xr10:uidLastSave="{295B952B-531E-42F2-91E5-8B9CD4DFBFBF}"/>
  <bookViews>
    <workbookView xWindow="-98" yWindow="-98" windowWidth="21795" windowHeight="13695" firstSheet="1" activeTab="5" xr2:uid="{00000000-000D-0000-FFFF-FFFF00000000}"/>
  </bookViews>
  <sheets>
    <sheet name="Pivot 1" sheetId="3" r:id="rId1"/>
    <sheet name="Pivot 2" sheetId="4" r:id="rId2"/>
    <sheet name="Pivot 3" sheetId="6" r:id="rId3"/>
    <sheet name="P" sheetId="7" r:id="rId4"/>
    <sheet name="Production Dataset" sheetId="1" r:id="rId5"/>
    <sheet name="Dashboard" sheetId="9" r:id="rId6"/>
  </sheets>
  <definedNames>
    <definedName name="_xlnm._FilterDatabase" localSheetId="4" hidden="1">'Production Dataset'!$A$1:$K$121</definedName>
  </definedNames>
  <calcPr calcId="191029"/>
  <pivotCaches>
    <pivotCache cacheId="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</calcChain>
</file>

<file path=xl/sharedStrings.xml><?xml version="1.0" encoding="utf-8"?>
<sst xmlns="http://schemas.openxmlformats.org/spreadsheetml/2006/main" count="523" uniqueCount="40">
  <si>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</si>
  <si>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</si>
  <si>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</si>
  <si>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</si>
  <si>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</si>
  <si>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</si>
  <si>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</si>
  <si>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</si>
  <si>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</si>
  <si>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</si>
  <si>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</si>
  <si>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</si>
  <si>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</si>
  <si>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</si>
  <si>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</si>
  <si>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</si>
  <si>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</si>
  <si>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</si>
  <si>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</si>
  <si>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</si>
  <si>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</si>
  <si>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</si>
  <si>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</si>
  <si>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</si>
  <si>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</si>
  <si>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</si>
  <si>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</si>
  <si>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</si>
  <si>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</si>
  <si>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</si>
  <si>
    <t>Age Group</t>
  </si>
  <si>
    <t>Production Cost per unit</t>
  </si>
  <si>
    <t>Row Labels</t>
  </si>
  <si>
    <t>Grand Total</t>
  </si>
  <si>
    <t>Sum of TotalCost</t>
  </si>
  <si>
    <t>Count of ProductionID</t>
  </si>
  <si>
    <t>Sum of UnitsProduced</t>
  </si>
  <si>
    <t>Average of Production Cost per unit</t>
  </si>
  <si>
    <t>EXCEL DASHBOARD 2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</si>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</sst>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48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ill="1"/>
    <xf numFmtId="0" fontId="0" fillId="0" borderId="0" xfId="0" applyNumberFormat="1"/>
    <xf numFmtId="0" fontId="0" fillId="2" borderId="0" xfId="0" applyFill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numFmt numFmtId="165" formatCode="_(* #,##0_);_(* \(#,##0\);_(* &quot;-&quot;??_);_(@_)"/>
    </dxf>
    <dxf>
      <numFmt numFmtId="35" formatCode="_(* #,##0.00_);_(* \(#,##0.00\);_(* &quot;-&quot;??_);_(@_)"/>
    </dxf>
  </dxfs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[Excel+Report+2.xlsx]Pivot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2000" i="1" u="sng">
                <a:solidFill>
                  <a:schemeClr val="tx1">
                    <a:lumMod val="50000"/>
                    <a:lumOff val="50000"/>
                  </a:schemeClr>
                </a:solidFill>
              </a:rPr>
              <a:t>Total Cost by ProductType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9.341825902335455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362833873910353E-3"/>
              <c:y val="-8.20948336871903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082595484693044E-2"/>
              <c:y val="-8.7756546890290901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681416936955176E-3"/>
              <c:y val="-9.058740268931352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130013831258646E-2"/>
          <c:y val="0.10900698488680505"/>
          <c:w val="0.95942830797602585"/>
          <c:h val="0.8377118495113905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4.0681416936955176E-3"/>
                  <c:y val="-9.0587402689313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C2-4687-8F42-250EEC5E59D2}"/>
                </c:ext>
              </c:extLst>
            </c:dLbl>
            <c:dLbl>
              <c:idx val="1"/>
              <c:layout>
                <c:manualLayout>
                  <c:x val="1.6082595484693044E-2"/>
                  <c:y val="-8.77565468902909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C2-4687-8F42-250EEC5E59D2}"/>
                </c:ext>
              </c:extLst>
            </c:dLbl>
            <c:dLbl>
              <c:idx val="2"/>
              <c:layout>
                <c:manualLayout>
                  <c:x val="8.1362833873910353E-3"/>
                  <c:y val="-8.2094833687190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C2-4687-8F42-250EEC5E59D2}"/>
                </c:ext>
              </c:extLst>
            </c:dLbl>
            <c:dLbl>
              <c:idx val="3"/>
              <c:layout>
                <c:manualLayout>
                  <c:x val="0"/>
                  <c:y val="-9.341825902335455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C2-4687-8F42-250EEC5E59D2}"/>
                </c:ext>
              </c:extLst>
            </c:dLbl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1'!$A$4:$A$8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2-4687-8F42-250EEC5E5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4973360"/>
        <c:axId val="1634810512"/>
        <c:axId val="1639834288"/>
      </c:bar3DChart>
      <c:catAx>
        <c:axId val="162497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>
              <a:lumMod val="85000"/>
              <a:lumOff val="15000"/>
            </a:schemeClr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810512"/>
        <c:crosses val="autoZero"/>
        <c:auto val="1"/>
        <c:lblAlgn val="ctr"/>
        <c:lblOffset val="100"/>
        <c:noMultiLvlLbl val="0"/>
      </c:catAx>
      <c:valAx>
        <c:axId val="163481051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624973360"/>
        <c:crosses val="autoZero"/>
        <c:crossBetween val="between"/>
      </c:valAx>
      <c:serAx>
        <c:axId val="1639834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634810512"/>
        <c:crosses val="autoZero"/>
      </c:ser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[Excel+Report+2.xlsx]Pivot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chemeClr val="tx1">
                    <a:lumMod val="50000"/>
                    <a:lumOff val="50000"/>
                  </a:schemeClr>
                </a:solidFill>
                <a:latin typeface="Arial Black" panose="020B0A04020102020204" pitchFamily="34" charset="0"/>
              </a:rPr>
              <a:t>Number of production id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2'!$A$4:$A$14</c:f>
              <c:strCache>
                <c:ptCount val="10"/>
                <c:pt idx="0">
                  <c:v>Andrew Blue</c:v>
                </c:pt>
                <c:pt idx="1">
                  <c:v>Chris Green</c:v>
                </c:pt>
                <c:pt idx="2">
                  <c:v>David White</c:v>
                </c:pt>
                <c:pt idx="3">
                  <c:v>Emily Davis</c:v>
                </c:pt>
                <c:pt idx="4">
                  <c:v>Jane Smith</c:v>
                </c:pt>
                <c:pt idx="5">
                  <c:v>John Doe</c:v>
                </c:pt>
                <c:pt idx="6">
                  <c:v>Laura Black</c:v>
                </c:pt>
                <c:pt idx="7">
                  <c:v>Mike Brown</c:v>
                </c:pt>
                <c:pt idx="8">
                  <c:v>Nancy Grey</c:v>
                </c:pt>
                <c:pt idx="9">
                  <c:v>Sarah Lee</c:v>
                </c:pt>
              </c:strCache>
            </c:strRef>
          </c:cat>
          <c:val>
            <c:numRef>
              <c:f>'Pivot 2'!$B$4:$B$14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18</c:v>
                </c:pt>
                <c:pt idx="5">
                  <c:v>13</c:v>
                </c:pt>
                <c:pt idx="6">
                  <c:v>8</c:v>
                </c:pt>
                <c:pt idx="7">
                  <c:v>11</c:v>
                </c:pt>
                <c:pt idx="8">
                  <c:v>37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B-4434-83A1-0A42AF5CAD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582240"/>
        <c:axId val="1634954992"/>
        <c:axId val="0"/>
      </c:bar3DChart>
      <c:catAx>
        <c:axId val="10158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954992"/>
        <c:crosses val="autoZero"/>
        <c:auto val="1"/>
        <c:lblAlgn val="ctr"/>
        <c:lblOffset val="100"/>
        <c:noMultiLvlLbl val="0"/>
      </c:catAx>
      <c:valAx>
        <c:axId val="163495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58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[Excel+Report+2.xlsx]Pivot 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latin typeface="Arial Black" panose="020B0A04020102020204" pitchFamily="34" charset="0"/>
              </a:rPr>
              <a:t>Total units by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276132943639966E-2"/>
          <c:y val="0.10029216429020413"/>
          <c:w val="0.75597408273752653"/>
          <c:h val="0.62624266956784791"/>
        </c:manualLayout>
      </c:layout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'Pivot 3'!$A$4:$A$103</c:f>
              <c:strCache>
                <c:ptCount val="99"/>
                <c:pt idx="0">
                  <c:v>9/22/2023</c:v>
                </c:pt>
                <c:pt idx="1">
                  <c:v>9/24/2023</c:v>
                </c:pt>
                <c:pt idx="2">
                  <c:v>9/28/2023</c:v>
                </c:pt>
                <c:pt idx="3">
                  <c:v>10/1/2023</c:v>
                </c:pt>
                <c:pt idx="4">
                  <c:v>10/8/2023</c:v>
                </c:pt>
                <c:pt idx="5">
                  <c:v>10/15/2023</c:v>
                </c:pt>
                <c:pt idx="6">
                  <c:v>10/16/2023</c:v>
                </c:pt>
                <c:pt idx="7">
                  <c:v>10/17/2023</c:v>
                </c:pt>
                <c:pt idx="8">
                  <c:v>10/18/2023</c:v>
                </c:pt>
                <c:pt idx="9">
                  <c:v>10/22/2023</c:v>
                </c:pt>
                <c:pt idx="10">
                  <c:v>10/29/2023</c:v>
                </c:pt>
                <c:pt idx="11">
                  <c:v>10/31/2023</c:v>
                </c:pt>
                <c:pt idx="12">
                  <c:v>11/2/2023</c:v>
                </c:pt>
                <c:pt idx="13">
                  <c:v>11/3/2023</c:v>
                </c:pt>
                <c:pt idx="14">
                  <c:v>11/4/2023</c:v>
                </c:pt>
                <c:pt idx="15">
                  <c:v>11/5/2023</c:v>
                </c:pt>
                <c:pt idx="16">
                  <c:v>11/10/2023</c:v>
                </c:pt>
                <c:pt idx="17">
                  <c:v>11/13/2023</c:v>
                </c:pt>
                <c:pt idx="18">
                  <c:v>11/19/2023</c:v>
                </c:pt>
                <c:pt idx="19">
                  <c:v>11/21/2023</c:v>
                </c:pt>
                <c:pt idx="20">
                  <c:v>11/22/2023</c:v>
                </c:pt>
                <c:pt idx="21">
                  <c:v>11/24/2023</c:v>
                </c:pt>
                <c:pt idx="22">
                  <c:v>11/26/2023</c:v>
                </c:pt>
                <c:pt idx="23">
                  <c:v>12/4/2023</c:v>
                </c:pt>
                <c:pt idx="24">
                  <c:v>12/13/2023</c:v>
                </c:pt>
                <c:pt idx="25">
                  <c:v>12/14/2023</c:v>
                </c:pt>
                <c:pt idx="26">
                  <c:v>12/17/2023</c:v>
                </c:pt>
                <c:pt idx="27">
                  <c:v>12/22/2023</c:v>
                </c:pt>
                <c:pt idx="28">
                  <c:v>12/26/2023</c:v>
                </c:pt>
                <c:pt idx="29">
                  <c:v>12/29/2023</c:v>
                </c:pt>
                <c:pt idx="30">
                  <c:v>1/1/2024</c:v>
                </c:pt>
                <c:pt idx="31">
                  <c:v>1/2/2024</c:v>
                </c:pt>
                <c:pt idx="32">
                  <c:v>1/3/2024</c:v>
                </c:pt>
                <c:pt idx="33">
                  <c:v>1/5/2024</c:v>
                </c:pt>
                <c:pt idx="34">
                  <c:v>1/8/2024</c:v>
                </c:pt>
                <c:pt idx="35">
                  <c:v>1/13/2024</c:v>
                </c:pt>
                <c:pt idx="36">
                  <c:v>1/14/2024</c:v>
                </c:pt>
                <c:pt idx="37">
                  <c:v>1/16/2024</c:v>
                </c:pt>
                <c:pt idx="38">
                  <c:v>1/18/2024</c:v>
                </c:pt>
                <c:pt idx="39">
                  <c:v>1/27/2024</c:v>
                </c:pt>
                <c:pt idx="40">
                  <c:v>2/7/2024</c:v>
                </c:pt>
                <c:pt idx="41">
                  <c:v>2/8/2024</c:v>
                </c:pt>
                <c:pt idx="42">
                  <c:v>2/13/2024</c:v>
                </c:pt>
                <c:pt idx="43">
                  <c:v>2/17/2024</c:v>
                </c:pt>
                <c:pt idx="44">
                  <c:v>2/25/2024</c:v>
                </c:pt>
                <c:pt idx="45">
                  <c:v>2/26/2024</c:v>
                </c:pt>
                <c:pt idx="46">
                  <c:v>2/28/2024</c:v>
                </c:pt>
                <c:pt idx="47">
                  <c:v>3/5/2024</c:v>
                </c:pt>
                <c:pt idx="48">
                  <c:v>3/6/2024</c:v>
                </c:pt>
                <c:pt idx="49">
                  <c:v>3/10/2024</c:v>
                </c:pt>
                <c:pt idx="50">
                  <c:v>3/13/2024</c:v>
                </c:pt>
                <c:pt idx="51">
                  <c:v>3/18/2024</c:v>
                </c:pt>
                <c:pt idx="52">
                  <c:v>3/19/2024</c:v>
                </c:pt>
                <c:pt idx="53">
                  <c:v>3/20/2024</c:v>
                </c:pt>
                <c:pt idx="54">
                  <c:v>3/21/2024</c:v>
                </c:pt>
                <c:pt idx="55">
                  <c:v>3/23/2024</c:v>
                </c:pt>
                <c:pt idx="56">
                  <c:v>3/26/2024</c:v>
                </c:pt>
                <c:pt idx="57">
                  <c:v>3/27/2024</c:v>
                </c:pt>
                <c:pt idx="58">
                  <c:v>3/29/2024</c:v>
                </c:pt>
                <c:pt idx="59">
                  <c:v>3/30/2024</c:v>
                </c:pt>
                <c:pt idx="60">
                  <c:v>4/1/2024</c:v>
                </c:pt>
                <c:pt idx="61">
                  <c:v>4/8/2024</c:v>
                </c:pt>
                <c:pt idx="62">
                  <c:v>4/10/2024</c:v>
                </c:pt>
                <c:pt idx="63">
                  <c:v>4/16/2024</c:v>
                </c:pt>
                <c:pt idx="64">
                  <c:v>4/25/2024</c:v>
                </c:pt>
                <c:pt idx="65">
                  <c:v>4/28/2024</c:v>
                </c:pt>
                <c:pt idx="66">
                  <c:v>4/30/2024</c:v>
                </c:pt>
                <c:pt idx="67">
                  <c:v>5/8/2024</c:v>
                </c:pt>
                <c:pt idx="68">
                  <c:v>5/10/2024</c:v>
                </c:pt>
                <c:pt idx="69">
                  <c:v>5/12/2024</c:v>
                </c:pt>
                <c:pt idx="70">
                  <c:v>5/15/2024</c:v>
                </c:pt>
                <c:pt idx="71">
                  <c:v>5/20/2024</c:v>
                </c:pt>
                <c:pt idx="72">
                  <c:v>6/1/2024</c:v>
                </c:pt>
                <c:pt idx="73">
                  <c:v>6/6/2024</c:v>
                </c:pt>
                <c:pt idx="74">
                  <c:v>6/8/2024</c:v>
                </c:pt>
                <c:pt idx="75">
                  <c:v>6/10/2024</c:v>
                </c:pt>
                <c:pt idx="76">
                  <c:v>6/14/2024</c:v>
                </c:pt>
                <c:pt idx="77">
                  <c:v>6/15/2024</c:v>
                </c:pt>
                <c:pt idx="78">
                  <c:v>6/21/2024</c:v>
                </c:pt>
                <c:pt idx="79">
                  <c:v>6/22/2024</c:v>
                </c:pt>
                <c:pt idx="80">
                  <c:v>6/24/2024</c:v>
                </c:pt>
                <c:pt idx="81">
                  <c:v>6/26/2024</c:v>
                </c:pt>
                <c:pt idx="82">
                  <c:v>6/29/2024</c:v>
                </c:pt>
                <c:pt idx="83">
                  <c:v>7/5/2024</c:v>
                </c:pt>
                <c:pt idx="84">
                  <c:v>7/16/2024</c:v>
                </c:pt>
                <c:pt idx="85">
                  <c:v>7/24/2024</c:v>
                </c:pt>
                <c:pt idx="86">
                  <c:v>7/31/2024</c:v>
                </c:pt>
                <c:pt idx="87">
                  <c:v>8/2/2024</c:v>
                </c:pt>
                <c:pt idx="88">
                  <c:v>8/4/2024</c:v>
                </c:pt>
                <c:pt idx="89">
                  <c:v>8/6/2024</c:v>
                </c:pt>
                <c:pt idx="90">
                  <c:v>8/7/2024</c:v>
                </c:pt>
                <c:pt idx="91">
                  <c:v>8/16/2024</c:v>
                </c:pt>
                <c:pt idx="92">
                  <c:v>8/17/2024</c:v>
                </c:pt>
                <c:pt idx="93">
                  <c:v>8/23/2024</c:v>
                </c:pt>
                <c:pt idx="94">
                  <c:v>8/26/2024</c:v>
                </c:pt>
                <c:pt idx="95">
                  <c:v>8/28/2024</c:v>
                </c:pt>
                <c:pt idx="96">
                  <c:v>9/8/2024</c:v>
                </c:pt>
                <c:pt idx="97">
                  <c:v>9/9/2024</c:v>
                </c:pt>
                <c:pt idx="98">
                  <c:v>9/14/2024</c:v>
                </c:pt>
              </c:strCache>
            </c:strRef>
          </c:cat>
          <c:val>
            <c:numRef>
              <c:f>'Pivot 3'!$B$4:$B$103</c:f>
              <c:numCache>
                <c:formatCode>_(* #,##0_);_(* \(#,##0\);_(* "-"??_);_(@_)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C-4E6E-8557-C3A014080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230880"/>
        <c:axId val="1463585776"/>
        <c:axId val="282041936"/>
      </c:line3DChart>
      <c:catAx>
        <c:axId val="53523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63585776"/>
        <c:crosses val="autoZero"/>
        <c:auto val="1"/>
        <c:lblAlgn val="ctr"/>
        <c:lblOffset val="100"/>
        <c:noMultiLvlLbl val="0"/>
      </c:catAx>
      <c:valAx>
        <c:axId val="14635857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30880"/>
        <c:crosses val="autoZero"/>
        <c:crossBetween val="between"/>
      </c:valAx>
      <c:serAx>
        <c:axId val="282041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8577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[Excel+Report+2.xlsx]P!PivotTable5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>
                    <a:lumMod val="50000"/>
                    <a:lumOff val="50000"/>
                  </a:schemeClr>
                </a:solidFill>
                <a:latin typeface="Arial Black" panose="020B0A04020102020204" pitchFamily="34" charset="0"/>
              </a:rPr>
              <a:t>Average Production cost By Product Type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tx1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tx1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bg2">
              <a:lumMod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7C4-4B9D-913B-11121BBFB666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C4-4B9D-913B-11121BBFB666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C4-4B9D-913B-11121BBFB666}"/>
              </c:ext>
            </c:extLst>
          </c:dPt>
          <c:dPt>
            <c:idx val="3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7C4-4B9D-913B-11121BBFB66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P!$B$4:$B$8</c:f>
              <c:numCache>
                <c:formatCode>_(* #,##0_);_(* \(#,##0\);_(* "-"??_);_(@_)</c:formatCode>
                <c:ptCount val="4"/>
                <c:pt idx="0">
                  <c:v>140.87387695413258</c:v>
                </c:pt>
                <c:pt idx="1">
                  <c:v>108.368246516667</c:v>
                </c:pt>
                <c:pt idx="2">
                  <c:v>180.4410334877862</c:v>
                </c:pt>
                <c:pt idx="3">
                  <c:v>108.97659894637712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4-4B9D-913B-11121BBFB6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[Excel+Report+2.xlsx]Pivot 1!PivotTable1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2000" i="1" u="sng">
                <a:solidFill>
                  <a:schemeClr val="tx1">
                    <a:lumMod val="50000"/>
                    <a:lumOff val="50000"/>
                  </a:schemeClr>
                </a:solidFill>
              </a:rPr>
              <a:t>Total Cost by ProductType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9.341825902335455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362833873910353E-3"/>
              <c:y val="-8.20948336871903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082595484693044E-2"/>
              <c:y val="-8.7756546890290901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681416936955176E-3"/>
              <c:y val="-9.058740268931352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681416936955176E-3"/>
              <c:y val="-9.058740268931352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082595484693044E-2"/>
              <c:y val="-8.7756546890290901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362833873910353E-3"/>
              <c:y val="-8.20948336871903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9.341825902335455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681416936955176E-3"/>
              <c:y val="-9.058740268931352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082595484693044E-2"/>
              <c:y val="-8.7756546890290901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362833873910353E-3"/>
              <c:y val="-8.20948336871903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9.341825902335455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130013831258646E-2"/>
          <c:y val="0.10900698488680505"/>
          <c:w val="0.95942830797602585"/>
          <c:h val="0.8377118495113905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4.0681416936955176E-3"/>
                  <c:y val="-9.0587402689313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3C-486D-AE0F-9454C6A915C8}"/>
                </c:ext>
              </c:extLst>
            </c:dLbl>
            <c:dLbl>
              <c:idx val="1"/>
              <c:layout>
                <c:manualLayout>
                  <c:x val="1.6082595484693044E-2"/>
                  <c:y val="-8.77565468902909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3C-486D-AE0F-9454C6A915C8}"/>
                </c:ext>
              </c:extLst>
            </c:dLbl>
            <c:dLbl>
              <c:idx val="2"/>
              <c:layout>
                <c:manualLayout>
                  <c:x val="8.1362833873910353E-3"/>
                  <c:y val="-8.2094833687190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3C-486D-AE0F-9454C6A915C8}"/>
                </c:ext>
              </c:extLst>
            </c:dLbl>
            <c:dLbl>
              <c:idx val="3"/>
              <c:layout>
                <c:manualLayout>
                  <c:x val="0"/>
                  <c:y val="-9.341825902335455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3C-486D-AE0F-9454C6A915C8}"/>
                </c:ext>
              </c:extLst>
            </c:dLbl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1'!$A$4:$A$8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3C-486D-AE0F-9454C6A91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4973360"/>
        <c:axId val="1634810512"/>
        <c:axId val="1639834288"/>
      </c:bar3DChart>
      <c:catAx>
        <c:axId val="162497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>
              <a:lumMod val="85000"/>
              <a:lumOff val="15000"/>
            </a:schemeClr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810512"/>
        <c:crosses val="autoZero"/>
        <c:auto val="1"/>
        <c:lblAlgn val="ctr"/>
        <c:lblOffset val="100"/>
        <c:noMultiLvlLbl val="0"/>
      </c:catAx>
      <c:valAx>
        <c:axId val="163481051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624973360"/>
        <c:crosses val="autoZero"/>
        <c:crossBetween val="between"/>
      </c:valAx>
      <c:serAx>
        <c:axId val="1639834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634810512"/>
        <c:crosses val="autoZero"/>
      </c:ser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[Excel+Report+2.xlsx]Pivot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chemeClr val="tx1">
                    <a:lumMod val="50000"/>
                    <a:lumOff val="50000"/>
                  </a:schemeClr>
                </a:solidFill>
                <a:latin typeface="Arial Black" panose="020B0A04020102020204" pitchFamily="34" charset="0"/>
              </a:rPr>
              <a:t>Number of production id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2'!$A$4:$A$14</c:f>
              <c:strCache>
                <c:ptCount val="10"/>
                <c:pt idx="0">
                  <c:v>Andrew Blue</c:v>
                </c:pt>
                <c:pt idx="1">
                  <c:v>Chris Green</c:v>
                </c:pt>
                <c:pt idx="2">
                  <c:v>David White</c:v>
                </c:pt>
                <c:pt idx="3">
                  <c:v>Emily Davis</c:v>
                </c:pt>
                <c:pt idx="4">
                  <c:v>Jane Smith</c:v>
                </c:pt>
                <c:pt idx="5">
                  <c:v>John Doe</c:v>
                </c:pt>
                <c:pt idx="6">
                  <c:v>Laura Black</c:v>
                </c:pt>
                <c:pt idx="7">
                  <c:v>Mike Brown</c:v>
                </c:pt>
                <c:pt idx="8">
                  <c:v>Nancy Grey</c:v>
                </c:pt>
                <c:pt idx="9">
                  <c:v>Sarah Lee</c:v>
                </c:pt>
              </c:strCache>
            </c:strRef>
          </c:cat>
          <c:val>
            <c:numRef>
              <c:f>'Pivot 2'!$B$4:$B$14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18</c:v>
                </c:pt>
                <c:pt idx="5">
                  <c:v>13</c:v>
                </c:pt>
                <c:pt idx="6">
                  <c:v>8</c:v>
                </c:pt>
                <c:pt idx="7">
                  <c:v>11</c:v>
                </c:pt>
                <c:pt idx="8">
                  <c:v>37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5-4934-BAC0-8E5A40E22A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582240"/>
        <c:axId val="1634954992"/>
        <c:axId val="0"/>
      </c:bar3DChart>
      <c:catAx>
        <c:axId val="10158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954992"/>
        <c:crosses val="autoZero"/>
        <c:auto val="1"/>
        <c:lblAlgn val="ctr"/>
        <c:lblOffset val="100"/>
        <c:noMultiLvlLbl val="0"/>
      </c:catAx>
      <c:valAx>
        <c:axId val="163495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58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[Excel+Report+2.xlsx]Pivot 3!PivotTable4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latin typeface="Arial Black" panose="020B0A04020102020204" pitchFamily="34" charset="0"/>
              </a:rPr>
              <a:t>Total units by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276132943639966E-2"/>
          <c:y val="0.10029216429020413"/>
          <c:w val="0.75597408273752653"/>
          <c:h val="0.62624266956784791"/>
        </c:manualLayout>
      </c:layout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'Pivot 3'!$A$4:$A$103</c:f>
              <c:strCache>
                <c:ptCount val="99"/>
                <c:pt idx="0">
                  <c:v>9/22/2023</c:v>
                </c:pt>
                <c:pt idx="1">
                  <c:v>9/24/2023</c:v>
                </c:pt>
                <c:pt idx="2">
                  <c:v>9/28/2023</c:v>
                </c:pt>
                <c:pt idx="3">
                  <c:v>10/1/2023</c:v>
                </c:pt>
                <c:pt idx="4">
                  <c:v>10/8/2023</c:v>
                </c:pt>
                <c:pt idx="5">
                  <c:v>10/15/2023</c:v>
                </c:pt>
                <c:pt idx="6">
                  <c:v>10/16/2023</c:v>
                </c:pt>
                <c:pt idx="7">
                  <c:v>10/17/2023</c:v>
                </c:pt>
                <c:pt idx="8">
                  <c:v>10/18/2023</c:v>
                </c:pt>
                <c:pt idx="9">
                  <c:v>10/22/2023</c:v>
                </c:pt>
                <c:pt idx="10">
                  <c:v>10/29/2023</c:v>
                </c:pt>
                <c:pt idx="11">
                  <c:v>10/31/2023</c:v>
                </c:pt>
                <c:pt idx="12">
                  <c:v>11/2/2023</c:v>
                </c:pt>
                <c:pt idx="13">
                  <c:v>11/3/2023</c:v>
                </c:pt>
                <c:pt idx="14">
                  <c:v>11/4/2023</c:v>
                </c:pt>
                <c:pt idx="15">
                  <c:v>11/5/2023</c:v>
                </c:pt>
                <c:pt idx="16">
                  <c:v>11/10/2023</c:v>
                </c:pt>
                <c:pt idx="17">
                  <c:v>11/13/2023</c:v>
                </c:pt>
                <c:pt idx="18">
                  <c:v>11/19/2023</c:v>
                </c:pt>
                <c:pt idx="19">
                  <c:v>11/21/2023</c:v>
                </c:pt>
                <c:pt idx="20">
                  <c:v>11/22/2023</c:v>
                </c:pt>
                <c:pt idx="21">
                  <c:v>11/24/2023</c:v>
                </c:pt>
                <c:pt idx="22">
                  <c:v>11/26/2023</c:v>
                </c:pt>
                <c:pt idx="23">
                  <c:v>12/4/2023</c:v>
                </c:pt>
                <c:pt idx="24">
                  <c:v>12/13/2023</c:v>
                </c:pt>
                <c:pt idx="25">
                  <c:v>12/14/2023</c:v>
                </c:pt>
                <c:pt idx="26">
                  <c:v>12/17/2023</c:v>
                </c:pt>
                <c:pt idx="27">
                  <c:v>12/22/2023</c:v>
                </c:pt>
                <c:pt idx="28">
                  <c:v>12/26/2023</c:v>
                </c:pt>
                <c:pt idx="29">
                  <c:v>12/29/2023</c:v>
                </c:pt>
                <c:pt idx="30">
                  <c:v>1/1/2024</c:v>
                </c:pt>
                <c:pt idx="31">
                  <c:v>1/2/2024</c:v>
                </c:pt>
                <c:pt idx="32">
                  <c:v>1/3/2024</c:v>
                </c:pt>
                <c:pt idx="33">
                  <c:v>1/5/2024</c:v>
                </c:pt>
                <c:pt idx="34">
                  <c:v>1/8/2024</c:v>
                </c:pt>
                <c:pt idx="35">
                  <c:v>1/13/2024</c:v>
                </c:pt>
                <c:pt idx="36">
                  <c:v>1/14/2024</c:v>
                </c:pt>
                <c:pt idx="37">
                  <c:v>1/16/2024</c:v>
                </c:pt>
                <c:pt idx="38">
                  <c:v>1/18/2024</c:v>
                </c:pt>
                <c:pt idx="39">
                  <c:v>1/27/2024</c:v>
                </c:pt>
                <c:pt idx="40">
                  <c:v>2/7/2024</c:v>
                </c:pt>
                <c:pt idx="41">
                  <c:v>2/8/2024</c:v>
                </c:pt>
                <c:pt idx="42">
                  <c:v>2/13/2024</c:v>
                </c:pt>
                <c:pt idx="43">
                  <c:v>2/17/2024</c:v>
                </c:pt>
                <c:pt idx="44">
                  <c:v>2/25/2024</c:v>
                </c:pt>
                <c:pt idx="45">
                  <c:v>2/26/2024</c:v>
                </c:pt>
                <c:pt idx="46">
                  <c:v>2/28/2024</c:v>
                </c:pt>
                <c:pt idx="47">
                  <c:v>3/5/2024</c:v>
                </c:pt>
                <c:pt idx="48">
                  <c:v>3/6/2024</c:v>
                </c:pt>
                <c:pt idx="49">
                  <c:v>3/10/2024</c:v>
                </c:pt>
                <c:pt idx="50">
                  <c:v>3/13/2024</c:v>
                </c:pt>
                <c:pt idx="51">
                  <c:v>3/18/2024</c:v>
                </c:pt>
                <c:pt idx="52">
                  <c:v>3/19/2024</c:v>
                </c:pt>
                <c:pt idx="53">
                  <c:v>3/20/2024</c:v>
                </c:pt>
                <c:pt idx="54">
                  <c:v>3/21/2024</c:v>
                </c:pt>
                <c:pt idx="55">
                  <c:v>3/23/2024</c:v>
                </c:pt>
                <c:pt idx="56">
                  <c:v>3/26/2024</c:v>
                </c:pt>
                <c:pt idx="57">
                  <c:v>3/27/2024</c:v>
                </c:pt>
                <c:pt idx="58">
                  <c:v>3/29/2024</c:v>
                </c:pt>
                <c:pt idx="59">
                  <c:v>3/30/2024</c:v>
                </c:pt>
                <c:pt idx="60">
                  <c:v>4/1/2024</c:v>
                </c:pt>
                <c:pt idx="61">
                  <c:v>4/8/2024</c:v>
                </c:pt>
                <c:pt idx="62">
                  <c:v>4/10/2024</c:v>
                </c:pt>
                <c:pt idx="63">
                  <c:v>4/16/2024</c:v>
                </c:pt>
                <c:pt idx="64">
                  <c:v>4/25/2024</c:v>
                </c:pt>
                <c:pt idx="65">
                  <c:v>4/28/2024</c:v>
                </c:pt>
                <c:pt idx="66">
                  <c:v>4/30/2024</c:v>
                </c:pt>
                <c:pt idx="67">
                  <c:v>5/8/2024</c:v>
                </c:pt>
                <c:pt idx="68">
                  <c:v>5/10/2024</c:v>
                </c:pt>
                <c:pt idx="69">
                  <c:v>5/12/2024</c:v>
                </c:pt>
                <c:pt idx="70">
                  <c:v>5/15/2024</c:v>
                </c:pt>
                <c:pt idx="71">
                  <c:v>5/20/2024</c:v>
                </c:pt>
                <c:pt idx="72">
                  <c:v>6/1/2024</c:v>
                </c:pt>
                <c:pt idx="73">
                  <c:v>6/6/2024</c:v>
                </c:pt>
                <c:pt idx="74">
                  <c:v>6/8/2024</c:v>
                </c:pt>
                <c:pt idx="75">
                  <c:v>6/10/2024</c:v>
                </c:pt>
                <c:pt idx="76">
                  <c:v>6/14/2024</c:v>
                </c:pt>
                <c:pt idx="77">
                  <c:v>6/15/2024</c:v>
                </c:pt>
                <c:pt idx="78">
                  <c:v>6/21/2024</c:v>
                </c:pt>
                <c:pt idx="79">
                  <c:v>6/22/2024</c:v>
                </c:pt>
                <c:pt idx="80">
                  <c:v>6/24/2024</c:v>
                </c:pt>
                <c:pt idx="81">
                  <c:v>6/26/2024</c:v>
                </c:pt>
                <c:pt idx="82">
                  <c:v>6/29/2024</c:v>
                </c:pt>
                <c:pt idx="83">
                  <c:v>7/5/2024</c:v>
                </c:pt>
                <c:pt idx="84">
                  <c:v>7/16/2024</c:v>
                </c:pt>
                <c:pt idx="85">
                  <c:v>7/24/2024</c:v>
                </c:pt>
                <c:pt idx="86">
                  <c:v>7/31/2024</c:v>
                </c:pt>
                <c:pt idx="87">
                  <c:v>8/2/2024</c:v>
                </c:pt>
                <c:pt idx="88">
                  <c:v>8/4/2024</c:v>
                </c:pt>
                <c:pt idx="89">
                  <c:v>8/6/2024</c:v>
                </c:pt>
                <c:pt idx="90">
                  <c:v>8/7/2024</c:v>
                </c:pt>
                <c:pt idx="91">
                  <c:v>8/16/2024</c:v>
                </c:pt>
                <c:pt idx="92">
                  <c:v>8/17/2024</c:v>
                </c:pt>
                <c:pt idx="93">
                  <c:v>8/23/2024</c:v>
                </c:pt>
                <c:pt idx="94">
                  <c:v>8/26/2024</c:v>
                </c:pt>
                <c:pt idx="95">
                  <c:v>8/28/2024</c:v>
                </c:pt>
                <c:pt idx="96">
                  <c:v>9/8/2024</c:v>
                </c:pt>
                <c:pt idx="97">
                  <c:v>9/9/2024</c:v>
                </c:pt>
                <c:pt idx="98">
                  <c:v>9/14/2024</c:v>
                </c:pt>
              </c:strCache>
            </c:strRef>
          </c:cat>
          <c:val>
            <c:numRef>
              <c:f>'Pivot 3'!$B$4:$B$103</c:f>
              <c:numCache>
                <c:formatCode>_(* #,##0_);_(* \(#,##0\);_(* "-"??_);_(@_)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4-41F2-9695-82E43A9A4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230880"/>
        <c:axId val="1463585776"/>
        <c:axId val="282041936"/>
      </c:line3DChart>
      <c:catAx>
        <c:axId val="53523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63585776"/>
        <c:crosses val="autoZero"/>
        <c:auto val="1"/>
        <c:lblAlgn val="ctr"/>
        <c:lblOffset val="100"/>
        <c:noMultiLvlLbl val="0"/>
      </c:catAx>
      <c:valAx>
        <c:axId val="14635857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30880"/>
        <c:crosses val="autoZero"/>
        <c:crossBetween val="between"/>
      </c:valAx>
      <c:serAx>
        <c:axId val="282041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8577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[Excel+Report+2.xlsx]P!PivotTable5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>
                    <a:lumMod val="50000"/>
                    <a:lumOff val="50000"/>
                  </a:schemeClr>
                </a:solidFill>
                <a:latin typeface="Arial Black" panose="020B0A04020102020204" pitchFamily="34" charset="0"/>
              </a:rPr>
              <a:t>Average Production cost By Product Type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tx1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tx1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bg2">
              <a:lumMod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bg2">
              <a:lumMod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tx1">
              <a:lumMod val="95000"/>
              <a:lumOff val="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tx1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tx1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bg2">
              <a:lumMod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tx1">
              <a:lumMod val="95000"/>
              <a:lumOff val="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A1-4A69-8A40-627B3A897DBD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A1-4A69-8A40-627B3A897DBD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A1-4A69-8A40-627B3A897DBD}"/>
              </c:ext>
            </c:extLst>
          </c:dPt>
          <c:dPt>
            <c:idx val="3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A1-4A69-8A40-627B3A897DB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P!$B$4:$B$8</c:f>
              <c:numCache>
                <c:formatCode>_(* #,##0_);_(* \(#,##0\);_(* "-"??_);_(@_)</c:formatCode>
                <c:ptCount val="4"/>
                <c:pt idx="0">
                  <c:v>140.87387695413258</c:v>
                </c:pt>
                <c:pt idx="1">
                  <c:v>108.368246516667</c:v>
                </c:pt>
                <c:pt idx="2">
                  <c:v>180.4410334877862</c:v>
                </c:pt>
                <c:pt idx="3">
                  <c:v>108.97659894637712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A1-4A69-8A40-627B3A897D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9525</xdr:rowOff>
    </xdr:from>
    <xdr:to>
      <xdr:col>13</xdr:col>
      <xdr:colOff>14287</xdr:colOff>
      <xdr:row>31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61E57-7DB4-D62D-E34B-409B3E49C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180974</xdr:colOff>
      <xdr:row>0</xdr:row>
      <xdr:rowOff>166688</xdr:rowOff>
    </xdr:from>
    <xdr:to>
      <xdr:col>13</xdr:col>
      <xdr:colOff>371475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A3707-CC53-04A1-83E3-3057E86DF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388143</xdr:colOff>
      <xdr:row>1</xdr:row>
      <xdr:rowOff>30956</xdr:rowOff>
    </xdr:from>
    <xdr:to>
      <xdr:col>12</xdr:col>
      <xdr:colOff>38100</xdr:colOff>
      <xdr:row>21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2A8A2-FE88-51F5-9791-E1B87F1F7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192881</xdr:colOff>
      <xdr:row>3</xdr:row>
      <xdr:rowOff>54768</xdr:rowOff>
    </xdr:from>
    <xdr:to>
      <xdr:col>11</xdr:col>
      <xdr:colOff>228601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9DEAF-C94C-8C7C-B260-94F0CD053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28575</xdr:rowOff>
    </xdr:from>
    <xdr:to>
      <xdr:col>9</xdr:col>
      <xdr:colOff>0</xdr:colOff>
      <xdr:row>30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C0A04-EC7A-4EE3-A820-EEDAA27BF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7</xdr:row>
      <xdr:rowOff>157163</xdr:rowOff>
    </xdr:from>
    <xdr:to>
      <xdr:col>20</xdr:col>
      <xdr:colOff>57150</xdr:colOff>
      <xdr:row>29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566CD-B2BA-4AF1-8A15-54A2CEF65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47625</xdr:rowOff>
    </xdr:from>
    <xdr:to>
      <xdr:col>9</xdr:col>
      <xdr:colOff>209550</xdr:colOff>
      <xdr:row>50</xdr:row>
      <xdr:rowOff>121445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6F083-E075-4A7B-B71A-CF9A15A65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257174</xdr:colOff>
      <xdr:row>30</xdr:row>
      <xdr:rowOff>28575</xdr:rowOff>
    </xdr:from>
    <xdr:to>
      <xdr:col>20</xdr:col>
      <xdr:colOff>57149</xdr:colOff>
      <xdr:row>50</xdr:row>
      <xdr:rowOff>126207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11B449-55FE-4FFA-B356-7791EC8A8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7.973685532408" createdVersion="8" refreshedVersion="8" minRefreshableVersion="3" recordCount="120" xr:uid="{7159C976-C5DD-4FA8-B895-E1110E3850F0}">
  <cacheSource type="worksheet">
    <worksheetSource ref="A1:K121" sheet="Production Dataset"/>
  </cacheSource>
  <cacheFields count="11">
    <cacheField name="ProductionID" numFmtId="165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roductionDate" numFmtId="165">
      <sharedItems containsSemiMixedTypes="0" containsString="0" containsNumber="1" containsInteger="1" minValue="45191" maxValue="45549" count="99">
        <n v="45380"/>
        <n v="45420"/>
        <n v="45504"/>
        <n v="45214"/>
        <n v="45449"/>
        <n v="45350"/>
        <n v="45472"/>
        <n v="45299"/>
        <n v="45217"/>
        <n v="45508"/>
        <n v="45335"/>
        <n v="45410"/>
        <n v="45465"/>
        <n v="45398"/>
        <n v="45318"/>
        <n v="45215"/>
        <n v="45381"/>
        <n v="45469"/>
        <n v="45254"/>
        <n v="45304"/>
        <n v="45294"/>
        <n v="45520"/>
        <n v="45296"/>
        <n v="45235"/>
        <n v="45530"/>
        <n v="45511"/>
        <n v="45286"/>
        <n v="45339"/>
        <n v="45200"/>
        <n v="45543"/>
        <n v="45371"/>
        <n v="45422"/>
        <n v="45251"/>
        <n v="45230"/>
        <n v="45377"/>
        <n v="45467"/>
        <n v="45489"/>
        <n v="45221"/>
        <n v="45407"/>
        <n v="45424"/>
        <n v="45252"/>
        <n v="45451"/>
        <n v="45458"/>
        <n v="45207"/>
        <n v="45228"/>
        <n v="45191"/>
        <n v="45234"/>
        <n v="45364"/>
        <n v="45216"/>
        <n v="45510"/>
        <n v="45549"/>
        <n v="45193"/>
        <n v="45292"/>
        <n v="45453"/>
        <n v="45372"/>
        <n v="45432"/>
        <n v="45378"/>
        <n v="45390"/>
        <n v="45249"/>
        <n v="45532"/>
        <n v="45232"/>
        <n v="45356"/>
        <n v="45506"/>
        <n v="45197"/>
        <n v="45357"/>
        <n v="45478"/>
        <n v="45544"/>
        <n v="45457"/>
        <n v="45369"/>
        <n v="45309"/>
        <n v="45307"/>
        <n v="45330"/>
        <n v="45305"/>
        <n v="45348"/>
        <n v="45289"/>
        <n v="45444"/>
        <n v="45329"/>
        <n v="45277"/>
        <n v="45427"/>
        <n v="45521"/>
        <n v="45347"/>
        <n v="45293"/>
        <n v="45282"/>
        <n v="45464"/>
        <n v="45497"/>
        <n v="45274"/>
        <n v="45243"/>
        <n v="45392"/>
        <n v="45412"/>
        <n v="45264"/>
        <n v="45256"/>
        <n v="45383"/>
        <n v="45527"/>
        <n v="45370"/>
        <n v="45233"/>
        <n v="45240"/>
        <n v="45374"/>
        <n v="45273"/>
        <n v="45361"/>
      </sharedItems>
    </cacheField>
    <cacheField name="Region" numFmtId="165">
      <sharedItems/>
    </cacheField>
    <cacheField name="Manager" numFmtId="165">
      <sharedItems count="10">
        <s v="John Doe"/>
        <s v="Laura Black"/>
        <s v="Sarah Lee"/>
        <s v="Mike Brown"/>
        <s v="Jane Smith"/>
        <s v="Andrew Blue"/>
        <s v="David White"/>
        <s v="Nancy Grey"/>
        <s v="Emily Davis"/>
        <s v="Chris Green"/>
      </sharedItems>
    </cacheField>
    <cacheField name="ProductType" numFmtId="165">
      <sharedItems count="4">
        <s v="Automobiles"/>
        <s v="Furniture"/>
        <s v="Machinery"/>
        <s v="Electronics"/>
      </sharedItems>
    </cacheField>
    <cacheField name="UnitsProduced" numFmtId="165">
      <sharedItems containsSemiMixedTypes="0" containsString="0" containsNumber="1" containsInteger="1" minValue="32" maxValue="666"/>
    </cacheField>
    <cacheField name="TotalCost" numFmtId="165">
      <sharedItems containsSemiMixedTypes="0" containsString="0" containsNumber="1" containsInteger="1" minValue="679" maxValue="76076" count="105">
        <n v="22288"/>
        <n v="66500"/>
        <n v="76076"/>
        <n v="17069"/>
        <n v="41349"/>
        <n v="19691"/>
        <n v="11696"/>
        <n v="52269"/>
        <n v="25893"/>
        <n v="38480"/>
        <n v="46767"/>
        <n v="26145"/>
        <n v="64090"/>
        <n v="679"/>
        <n v="39008"/>
        <n v="18796"/>
        <n v="65052"/>
        <n v="38232"/>
        <n v="50652"/>
        <n v="27140"/>
        <n v="11385"/>
        <n v="33684"/>
        <n v="42328"/>
        <n v="42873"/>
        <n v="31392"/>
        <n v="47880"/>
        <n v="13490"/>
        <n v="7272"/>
        <n v="48316"/>
        <n v="15132"/>
        <n v="5246"/>
        <n v="37744"/>
        <n v="48000"/>
        <n v="34680"/>
        <n v="50274"/>
        <n v="43615"/>
        <n v="14076"/>
        <n v="12870"/>
        <n v="35280"/>
        <n v="37490"/>
        <n v="46068"/>
        <n v="11078"/>
        <n v="32045"/>
        <n v="33284"/>
        <n v="11954"/>
        <n v="36708"/>
        <n v="30600"/>
        <n v="13568"/>
        <n v="33344"/>
        <n v="3960"/>
        <n v="58208"/>
        <n v="59458"/>
        <n v="13872"/>
        <n v="57706"/>
        <n v="59248"/>
        <n v="29440"/>
        <n v="8475"/>
        <n v="44330"/>
        <n v="3186"/>
        <n v="28050"/>
        <n v="16698"/>
        <n v="27956"/>
        <n v="36984"/>
        <n v="46800"/>
        <n v="7125"/>
        <n v="12320"/>
        <n v="42028"/>
        <n v="25758"/>
        <n v="34804"/>
        <n v="45312"/>
        <n v="44525"/>
        <n v="3132"/>
        <n v="16740"/>
        <n v="65250"/>
        <n v="10688"/>
        <n v="18648"/>
        <n v="5822"/>
        <n v="51221"/>
        <n v="75332"/>
        <n v="13310"/>
        <n v="47952"/>
        <n v="4984"/>
        <n v="4131"/>
        <n v="24549"/>
        <n v="35088"/>
        <n v="25254"/>
        <n v="17500"/>
        <n v="36934"/>
        <n v="40565"/>
        <n v="12753"/>
        <n v="16864"/>
        <n v="56888"/>
        <n v="31122"/>
        <n v="25853"/>
        <n v="11092"/>
        <n v="4221"/>
        <n v="31500"/>
        <n v="31414"/>
        <n v="40446"/>
        <n v="42432"/>
        <n v="64635"/>
        <n v="51168"/>
        <n v="24948"/>
        <n v="56118"/>
        <n v="46548"/>
      </sharedItems>
    </cacheField>
    <cacheField name="Gender" numFmtId="165">
      <sharedItems/>
    </cacheField>
    <cacheField name="True Age" numFmtId="165">
      <sharedItems containsSemiMixedTypes="0" containsString="0" containsNumber="1" containsInteger="1" minValue="25" maxValue="57"/>
    </cacheField>
    <cacheField name="Age Group" numFmtId="0">
      <sharedItems/>
    </cacheField>
    <cacheField name="Production Cost per unit" numFmtId="165">
      <sharedItems containsSemiMixedTypes="0" containsString="0" containsNumber="1" minValue="1.3287671232876712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s v="South"/>
    <x v="0"/>
    <x v="0"/>
    <n v="412"/>
    <x v="0"/>
    <s v="Female"/>
    <n v="25"/>
    <s v="A1"/>
    <n v="54.097087378640779"/>
  </r>
  <r>
    <x v="1"/>
    <x v="1"/>
    <s v="West"/>
    <x v="1"/>
    <x v="1"/>
    <n v="430"/>
    <x v="1"/>
    <s v="Female"/>
    <n v="52"/>
    <s v="A3"/>
    <n v="154.65116279069767"/>
  </r>
  <r>
    <x v="2"/>
    <x v="2"/>
    <s v="North"/>
    <x v="2"/>
    <x v="2"/>
    <n v="478"/>
    <x v="2"/>
    <s v="Male"/>
    <n v="36"/>
    <s v="A2"/>
    <n v="159.15481171548117"/>
  </r>
  <r>
    <x v="3"/>
    <x v="3"/>
    <s v="West"/>
    <x v="3"/>
    <x v="2"/>
    <n v="459"/>
    <x v="3"/>
    <s v="Unknown"/>
    <n v="57"/>
    <s v="A3"/>
    <n v="37.187363834422655"/>
  </r>
  <r>
    <x v="4"/>
    <x v="4"/>
    <s v="South"/>
    <x v="4"/>
    <x v="2"/>
    <n v="178"/>
    <x v="4"/>
    <s v="Male"/>
    <n v="26"/>
    <s v="A1"/>
    <n v="232.29775280898878"/>
  </r>
  <r>
    <x v="5"/>
    <x v="5"/>
    <s v="West"/>
    <x v="4"/>
    <x v="2"/>
    <n v="401"/>
    <x v="5"/>
    <s v="Male"/>
    <n v="26"/>
    <s v="A1"/>
    <n v="49.104738154613464"/>
  </r>
  <r>
    <x v="6"/>
    <x v="6"/>
    <s v="West"/>
    <x v="5"/>
    <x v="2"/>
    <n v="68"/>
    <x v="6"/>
    <s v="Male"/>
    <n v="28"/>
    <s v="A1"/>
    <n v="172"/>
  </r>
  <r>
    <x v="7"/>
    <x v="7"/>
    <s v="West"/>
    <x v="6"/>
    <x v="3"/>
    <n v="447"/>
    <x v="7"/>
    <s v="Male"/>
    <n v="28"/>
    <s v="A1"/>
    <n v="116.93288590604027"/>
  </r>
  <r>
    <x v="8"/>
    <x v="8"/>
    <s v="West"/>
    <x v="7"/>
    <x v="3"/>
    <n v="55"/>
    <x v="8"/>
    <s v="Male"/>
    <n v="42"/>
    <s v="A2"/>
    <n v="470.78181818181821"/>
  </r>
  <r>
    <x v="9"/>
    <x v="9"/>
    <s v="West"/>
    <x v="7"/>
    <x v="0"/>
    <n v="396"/>
    <x v="9"/>
    <s v="Female"/>
    <n v="42"/>
    <s v="A2"/>
    <n v="97.171717171717177"/>
  </r>
  <r>
    <x v="10"/>
    <x v="10"/>
    <s v="West"/>
    <x v="8"/>
    <x v="2"/>
    <n v="494"/>
    <x v="10"/>
    <s v="Female"/>
    <n v="25"/>
    <s v="A1"/>
    <n v="94.670040485829958"/>
  </r>
  <r>
    <x v="11"/>
    <x v="11"/>
    <s v="West"/>
    <x v="8"/>
    <x v="0"/>
    <n v="462"/>
    <x v="11"/>
    <s v="Unknown"/>
    <n v="25"/>
    <s v="A1"/>
    <n v="56.590909090909093"/>
  </r>
  <r>
    <x v="12"/>
    <x v="6"/>
    <s v="North"/>
    <x v="0"/>
    <x v="3"/>
    <n v="435"/>
    <x v="12"/>
    <s v="Female"/>
    <n v="25"/>
    <s v="A1"/>
    <n v="147.33333333333334"/>
  </r>
  <r>
    <x v="13"/>
    <x v="12"/>
    <s v="South"/>
    <x v="4"/>
    <x v="0"/>
    <n v="332"/>
    <x v="13"/>
    <s v="Female"/>
    <n v="26"/>
    <s v="A1"/>
    <n v="2.0451807228915664"/>
  </r>
  <r>
    <x v="14"/>
    <x v="13"/>
    <s v="North"/>
    <x v="7"/>
    <x v="0"/>
    <n v="383"/>
    <x v="14"/>
    <s v="Unknown"/>
    <n v="42"/>
    <s v="A2"/>
    <n v="101.8485639686684"/>
  </r>
  <r>
    <x v="15"/>
    <x v="14"/>
    <s v="North"/>
    <x v="4"/>
    <x v="1"/>
    <n v="193"/>
    <x v="15"/>
    <s v="Male"/>
    <n v="26"/>
    <s v="A1"/>
    <n v="97.388601036269435"/>
  </r>
  <r>
    <x v="16"/>
    <x v="15"/>
    <s v="West"/>
    <x v="7"/>
    <x v="2"/>
    <n v="240"/>
    <x v="16"/>
    <s v="Female"/>
    <n v="42"/>
    <s v="A2"/>
    <n v="271.05"/>
  </r>
  <r>
    <x v="17"/>
    <x v="16"/>
    <s v="West"/>
    <x v="9"/>
    <x v="0"/>
    <n v="363"/>
    <x v="17"/>
    <s v="Female"/>
    <n v="49"/>
    <s v="A3"/>
    <n v="105.32231404958678"/>
  </r>
  <r>
    <x v="18"/>
    <x v="17"/>
    <s v="West"/>
    <x v="9"/>
    <x v="0"/>
    <n v="443"/>
    <x v="18"/>
    <s v="Male"/>
    <n v="49"/>
    <s v="A3"/>
    <n v="114.33860045146727"/>
  </r>
  <r>
    <x v="19"/>
    <x v="18"/>
    <s v="West"/>
    <x v="7"/>
    <x v="3"/>
    <n v="331"/>
    <x v="19"/>
    <s v="Male"/>
    <n v="42"/>
    <s v="A2"/>
    <n v="81.993957703927492"/>
  </r>
  <r>
    <x v="20"/>
    <x v="19"/>
    <s v="South"/>
    <x v="7"/>
    <x v="2"/>
    <n v="250"/>
    <x v="20"/>
    <s v="Male"/>
    <n v="42"/>
    <s v="A2"/>
    <n v="45.54"/>
  </r>
  <r>
    <x v="21"/>
    <x v="20"/>
    <s v="West"/>
    <x v="9"/>
    <x v="2"/>
    <n v="180"/>
    <x v="21"/>
    <s v="Female"/>
    <n v="49"/>
    <s v="A3"/>
    <n v="187.13333333333333"/>
  </r>
  <r>
    <x v="22"/>
    <x v="21"/>
    <s v="North"/>
    <x v="5"/>
    <x v="0"/>
    <n v="90"/>
    <x v="22"/>
    <s v="Female"/>
    <n v="28"/>
    <s v="A1"/>
    <n v="470.31111111111113"/>
  </r>
  <r>
    <x v="23"/>
    <x v="22"/>
    <s v="South"/>
    <x v="3"/>
    <x v="2"/>
    <n v="458"/>
    <x v="23"/>
    <s v="Female"/>
    <n v="57"/>
    <s v="A3"/>
    <n v="93.609170305676855"/>
  </r>
  <r>
    <x v="24"/>
    <x v="23"/>
    <s v="West"/>
    <x v="4"/>
    <x v="0"/>
    <n v="439"/>
    <x v="24"/>
    <s v="Male"/>
    <n v="26"/>
    <s v="A1"/>
    <n v="71.50797266514806"/>
  </r>
  <r>
    <x v="25"/>
    <x v="24"/>
    <s v="West"/>
    <x v="7"/>
    <x v="0"/>
    <n v="406"/>
    <x v="25"/>
    <s v="Male"/>
    <n v="42"/>
    <s v="A2"/>
    <n v="117.93103448275862"/>
  </r>
  <r>
    <x v="26"/>
    <x v="25"/>
    <s v="West"/>
    <x v="7"/>
    <x v="3"/>
    <n v="422"/>
    <x v="26"/>
    <s v="Female"/>
    <n v="42"/>
    <s v="A2"/>
    <n v="31.966824644549764"/>
  </r>
  <r>
    <x v="27"/>
    <x v="26"/>
    <s v="West"/>
    <x v="3"/>
    <x v="0"/>
    <n v="444"/>
    <x v="27"/>
    <s v="Male"/>
    <n v="57"/>
    <s v="A3"/>
    <n v="16.378378378378379"/>
  </r>
  <r>
    <x v="28"/>
    <x v="27"/>
    <s v="West"/>
    <x v="7"/>
    <x v="3"/>
    <n v="499"/>
    <x v="28"/>
    <s v="Female"/>
    <n v="42"/>
    <s v="A2"/>
    <n v="96.825651302605209"/>
  </r>
  <r>
    <x v="29"/>
    <x v="28"/>
    <s v="West"/>
    <x v="8"/>
    <x v="0"/>
    <n v="290"/>
    <x v="29"/>
    <s v="Unknown"/>
    <n v="25"/>
    <s v="A1"/>
    <n v="52.179310344827584"/>
  </r>
  <r>
    <x v="30"/>
    <x v="29"/>
    <s v="North"/>
    <x v="7"/>
    <x v="3"/>
    <n v="369"/>
    <x v="30"/>
    <s v="Male"/>
    <n v="42"/>
    <s v="A2"/>
    <n v="14.21680216802168"/>
  </r>
  <r>
    <x v="31"/>
    <x v="30"/>
    <s v="East"/>
    <x v="7"/>
    <x v="0"/>
    <n v="389"/>
    <x v="31"/>
    <s v="Male"/>
    <n v="42"/>
    <s v="A2"/>
    <n v="97.028277634961441"/>
  </r>
  <r>
    <x v="32"/>
    <x v="31"/>
    <s v="East"/>
    <x v="8"/>
    <x v="3"/>
    <n v="511"/>
    <x v="13"/>
    <s v="Female"/>
    <n v="25"/>
    <s v="A1"/>
    <n v="1.3287671232876712"/>
  </r>
  <r>
    <x v="33"/>
    <x v="32"/>
    <s v="West"/>
    <x v="6"/>
    <x v="2"/>
    <n v="333"/>
    <x v="32"/>
    <s v="Female"/>
    <n v="28"/>
    <s v="A1"/>
    <n v="144.14414414414415"/>
  </r>
  <r>
    <x v="34"/>
    <x v="3"/>
    <s v="West"/>
    <x v="1"/>
    <x v="2"/>
    <n v="260"/>
    <x v="33"/>
    <s v="Male"/>
    <n v="52"/>
    <s v="A3"/>
    <n v="133.38461538461539"/>
  </r>
  <r>
    <x v="35"/>
    <x v="33"/>
    <s v="West"/>
    <x v="4"/>
    <x v="2"/>
    <n v="460"/>
    <x v="34"/>
    <s v="Male"/>
    <n v="26"/>
    <s v="A1"/>
    <n v="109.29130434782608"/>
  </r>
  <r>
    <x v="36"/>
    <x v="34"/>
    <s v="North"/>
    <x v="9"/>
    <x v="0"/>
    <n v="145"/>
    <x v="35"/>
    <s v="Male"/>
    <n v="49"/>
    <s v="A3"/>
    <n v="300.79310344827587"/>
  </r>
  <r>
    <x v="37"/>
    <x v="35"/>
    <s v="West"/>
    <x v="7"/>
    <x v="3"/>
    <n v="115"/>
    <x v="36"/>
    <s v="Female"/>
    <n v="42"/>
    <s v="A2"/>
    <n v="122.4"/>
  </r>
  <r>
    <x v="38"/>
    <x v="36"/>
    <s v="North"/>
    <x v="2"/>
    <x v="0"/>
    <n v="248"/>
    <x v="37"/>
    <s v="Female"/>
    <n v="36"/>
    <s v="A2"/>
    <n v="51.895161290322584"/>
  </r>
  <r>
    <x v="39"/>
    <x v="37"/>
    <s v="East"/>
    <x v="1"/>
    <x v="0"/>
    <n v="165"/>
    <x v="13"/>
    <s v="Male"/>
    <n v="52"/>
    <s v="A3"/>
    <n v="4.1151515151515152"/>
  </r>
  <r>
    <x v="40"/>
    <x v="38"/>
    <s v="West"/>
    <x v="7"/>
    <x v="1"/>
    <n v="51"/>
    <x v="38"/>
    <s v="Male"/>
    <n v="42"/>
    <s v="A2"/>
    <n v="691.76470588235293"/>
  </r>
  <r>
    <x v="41"/>
    <x v="39"/>
    <s v="North"/>
    <x v="7"/>
    <x v="0"/>
    <n v="382"/>
    <x v="39"/>
    <s v="Male"/>
    <n v="42"/>
    <s v="A2"/>
    <n v="98.141361256544499"/>
  </r>
  <r>
    <x v="42"/>
    <x v="40"/>
    <s v="North"/>
    <x v="7"/>
    <x v="0"/>
    <n v="354"/>
    <x v="13"/>
    <s v="Male"/>
    <n v="42"/>
    <s v="A2"/>
    <n v="1.9180790960451977"/>
  </r>
  <r>
    <x v="43"/>
    <x v="41"/>
    <s v="East"/>
    <x v="1"/>
    <x v="1"/>
    <n v="368"/>
    <x v="40"/>
    <s v="Female"/>
    <n v="52"/>
    <s v="A3"/>
    <n v="125.18478260869566"/>
  </r>
  <r>
    <x v="44"/>
    <x v="42"/>
    <s v="West"/>
    <x v="2"/>
    <x v="3"/>
    <n v="79"/>
    <x v="41"/>
    <s v="Female"/>
    <n v="36"/>
    <s v="A2"/>
    <n v="140.22784810126583"/>
  </r>
  <r>
    <x v="45"/>
    <x v="43"/>
    <s v="West"/>
    <x v="5"/>
    <x v="0"/>
    <n v="231"/>
    <x v="42"/>
    <s v="Female"/>
    <n v="28"/>
    <s v="A1"/>
    <n v="138.72294372294371"/>
  </r>
  <r>
    <x v="46"/>
    <x v="44"/>
    <s v="East"/>
    <x v="3"/>
    <x v="0"/>
    <n v="288"/>
    <x v="43"/>
    <s v="Female"/>
    <n v="57"/>
    <s v="A3"/>
    <n v="115.56944444444444"/>
  </r>
  <r>
    <x v="47"/>
    <x v="45"/>
    <s v="North"/>
    <x v="4"/>
    <x v="3"/>
    <n v="214"/>
    <x v="44"/>
    <s v="Female"/>
    <n v="26"/>
    <s v="A1"/>
    <n v="55.859813084112147"/>
  </r>
  <r>
    <x v="48"/>
    <x v="5"/>
    <s v="South"/>
    <x v="4"/>
    <x v="2"/>
    <n v="74"/>
    <x v="45"/>
    <s v="Male"/>
    <n v="26"/>
    <s v="A1"/>
    <n v="496.05405405405406"/>
  </r>
  <r>
    <x v="49"/>
    <x v="46"/>
    <s v="North"/>
    <x v="0"/>
    <x v="1"/>
    <n v="177"/>
    <x v="46"/>
    <s v="Male"/>
    <n v="25"/>
    <s v="A1"/>
    <n v="172.88135593220338"/>
  </r>
  <r>
    <x v="50"/>
    <x v="47"/>
    <s v="South"/>
    <x v="3"/>
    <x v="2"/>
    <n v="358"/>
    <x v="47"/>
    <s v="Female"/>
    <n v="57"/>
    <s v="A3"/>
    <n v="37.899441340782126"/>
  </r>
  <r>
    <x v="51"/>
    <x v="5"/>
    <s v="South"/>
    <x v="7"/>
    <x v="2"/>
    <n v="343"/>
    <x v="48"/>
    <s v="Male"/>
    <n v="42"/>
    <s v="A2"/>
    <n v="97.212827988338191"/>
  </r>
  <r>
    <x v="52"/>
    <x v="48"/>
    <s v="East"/>
    <x v="7"/>
    <x v="2"/>
    <n v="63"/>
    <x v="49"/>
    <s v="Male"/>
    <n v="42"/>
    <s v="A2"/>
    <n v="62.857142857142854"/>
  </r>
  <r>
    <x v="53"/>
    <x v="49"/>
    <s v="West"/>
    <x v="6"/>
    <x v="0"/>
    <n v="429"/>
    <x v="50"/>
    <s v="Male"/>
    <n v="28"/>
    <s v="A1"/>
    <n v="135.68298368298369"/>
  </r>
  <r>
    <x v="54"/>
    <x v="50"/>
    <s v="South"/>
    <x v="7"/>
    <x v="1"/>
    <n v="491"/>
    <x v="51"/>
    <s v="Male"/>
    <n v="42"/>
    <s v="A2"/>
    <n v="121.09572301425662"/>
  </r>
  <r>
    <x v="55"/>
    <x v="51"/>
    <s v="West"/>
    <x v="7"/>
    <x v="0"/>
    <n v="344"/>
    <x v="52"/>
    <s v="Female"/>
    <n v="42"/>
    <s v="A2"/>
    <n v="40.325581395348834"/>
  </r>
  <r>
    <x v="56"/>
    <x v="22"/>
    <s v="West"/>
    <x v="0"/>
    <x v="1"/>
    <n v="255"/>
    <x v="53"/>
    <s v="Female"/>
    <n v="25"/>
    <s v="A1"/>
    <n v="226.29803921568629"/>
  </r>
  <r>
    <x v="57"/>
    <x v="52"/>
    <s v="South"/>
    <x v="7"/>
    <x v="0"/>
    <n v="160"/>
    <x v="54"/>
    <s v="Female"/>
    <n v="42"/>
    <s v="A2"/>
    <n v="370.3"/>
  </r>
  <r>
    <x v="58"/>
    <x v="53"/>
    <s v="North"/>
    <x v="0"/>
    <x v="3"/>
    <n v="322"/>
    <x v="55"/>
    <s v="Male"/>
    <n v="25"/>
    <s v="A1"/>
    <n v="91.428571428571431"/>
  </r>
  <r>
    <x v="59"/>
    <x v="54"/>
    <s v="North"/>
    <x v="0"/>
    <x v="2"/>
    <n v="178"/>
    <x v="13"/>
    <s v="Male"/>
    <n v="25"/>
    <s v="A1"/>
    <n v="3.8146067415730336"/>
  </r>
  <r>
    <x v="60"/>
    <x v="26"/>
    <s v="West"/>
    <x v="1"/>
    <x v="0"/>
    <n v="151"/>
    <x v="56"/>
    <s v="Female"/>
    <n v="52"/>
    <s v="A3"/>
    <n v="56.12582781456954"/>
  </r>
  <r>
    <x v="61"/>
    <x v="5"/>
    <s v="West"/>
    <x v="3"/>
    <x v="2"/>
    <n v="535"/>
    <x v="57"/>
    <s v="Male"/>
    <n v="57"/>
    <s v="A3"/>
    <n v="82.859813084112147"/>
  </r>
  <r>
    <x v="62"/>
    <x v="49"/>
    <s v="East"/>
    <x v="0"/>
    <x v="0"/>
    <n v="305"/>
    <x v="58"/>
    <s v="Female"/>
    <n v="25"/>
    <s v="A1"/>
    <n v="10.445901639344262"/>
  </r>
  <r>
    <x v="63"/>
    <x v="55"/>
    <s v="West"/>
    <x v="0"/>
    <x v="3"/>
    <n v="188"/>
    <x v="13"/>
    <s v="Female"/>
    <n v="25"/>
    <s v="A1"/>
    <n v="3.6117021276595747"/>
  </r>
  <r>
    <x v="64"/>
    <x v="56"/>
    <s v="East"/>
    <x v="7"/>
    <x v="0"/>
    <n v="495"/>
    <x v="13"/>
    <s v="Male"/>
    <n v="42"/>
    <s v="A2"/>
    <n v="1.3717171717171717"/>
  </r>
  <r>
    <x v="65"/>
    <x v="57"/>
    <s v="West"/>
    <x v="5"/>
    <x v="3"/>
    <n v="190"/>
    <x v="59"/>
    <s v="Female"/>
    <n v="28"/>
    <s v="A1"/>
    <n v="147.63157894736841"/>
  </r>
  <r>
    <x v="66"/>
    <x v="58"/>
    <s v="West"/>
    <x v="4"/>
    <x v="0"/>
    <n v="511"/>
    <x v="60"/>
    <s v="Unknown"/>
    <n v="26"/>
    <s v="A1"/>
    <n v="32.677103718199611"/>
  </r>
  <r>
    <x v="67"/>
    <x v="5"/>
    <s v="South"/>
    <x v="9"/>
    <x v="0"/>
    <n v="308"/>
    <x v="61"/>
    <s v="Unknown"/>
    <n v="49"/>
    <s v="A3"/>
    <n v="90.766233766233768"/>
  </r>
  <r>
    <x v="68"/>
    <x v="59"/>
    <s v="East"/>
    <x v="2"/>
    <x v="1"/>
    <n v="183"/>
    <x v="13"/>
    <s v="Male"/>
    <n v="36"/>
    <s v="A2"/>
    <n v="3.7103825136612021"/>
  </r>
  <r>
    <x v="69"/>
    <x v="60"/>
    <s v="North"/>
    <x v="7"/>
    <x v="1"/>
    <n v="335"/>
    <x v="62"/>
    <s v="Female"/>
    <n v="42"/>
    <s v="A2"/>
    <n v="110.4"/>
  </r>
  <r>
    <x v="70"/>
    <x v="5"/>
    <s v="North"/>
    <x v="9"/>
    <x v="1"/>
    <n v="95"/>
    <x v="63"/>
    <s v="Male"/>
    <n v="49"/>
    <s v="A3"/>
    <n v="492.63157894736844"/>
  </r>
  <r>
    <x v="71"/>
    <x v="61"/>
    <s v="North"/>
    <x v="7"/>
    <x v="1"/>
    <n v="218"/>
    <x v="64"/>
    <s v="Male"/>
    <n v="42"/>
    <s v="A2"/>
    <n v="32.683486238532112"/>
  </r>
  <r>
    <x v="72"/>
    <x v="62"/>
    <s v="West"/>
    <x v="7"/>
    <x v="2"/>
    <n v="265"/>
    <x v="65"/>
    <s v="Female"/>
    <n v="42"/>
    <s v="A2"/>
    <n v="46.490566037735846"/>
  </r>
  <r>
    <x v="73"/>
    <x v="63"/>
    <s v="West"/>
    <x v="1"/>
    <x v="3"/>
    <n v="213"/>
    <x v="66"/>
    <s v="Female"/>
    <n v="52"/>
    <s v="A3"/>
    <n v="197.31455399061034"/>
  </r>
  <r>
    <x v="74"/>
    <x v="64"/>
    <s v="West"/>
    <x v="6"/>
    <x v="0"/>
    <n v="128"/>
    <x v="13"/>
    <s v="Male"/>
    <n v="28"/>
    <s v="A1"/>
    <n v="5.3046875"/>
  </r>
  <r>
    <x v="75"/>
    <x v="8"/>
    <s v="North"/>
    <x v="0"/>
    <x v="3"/>
    <n v="208"/>
    <x v="67"/>
    <s v="Unknown"/>
    <n v="25"/>
    <s v="A1"/>
    <n v="123.83653846153847"/>
  </r>
  <r>
    <x v="76"/>
    <x v="65"/>
    <s v="West"/>
    <x v="7"/>
    <x v="1"/>
    <n v="115"/>
    <x v="68"/>
    <s v="Female"/>
    <n v="42"/>
    <s v="A2"/>
    <n v="302.64347826086959"/>
  </r>
  <r>
    <x v="77"/>
    <x v="17"/>
    <s v="South"/>
    <x v="4"/>
    <x v="0"/>
    <n v="465"/>
    <x v="13"/>
    <s v="Female"/>
    <n v="26"/>
    <s v="A1"/>
    <n v="1.4602150537634409"/>
  </r>
  <r>
    <x v="78"/>
    <x v="66"/>
    <s v="East"/>
    <x v="7"/>
    <x v="2"/>
    <n v="519"/>
    <x v="69"/>
    <s v="Male"/>
    <n v="42"/>
    <s v="A2"/>
    <n v="87.306358381502889"/>
  </r>
  <r>
    <x v="79"/>
    <x v="5"/>
    <s v="South"/>
    <x v="3"/>
    <x v="2"/>
    <n v="380"/>
    <x v="70"/>
    <s v="Unknown"/>
    <n v="57"/>
    <s v="A3"/>
    <n v="117.17105263157895"/>
  </r>
  <r>
    <x v="80"/>
    <x v="10"/>
    <s v="East"/>
    <x v="7"/>
    <x v="0"/>
    <n v="32"/>
    <x v="71"/>
    <s v="Male"/>
    <n v="42"/>
    <s v="A2"/>
    <n v="97.875"/>
  </r>
  <r>
    <x v="81"/>
    <x v="67"/>
    <s v="East"/>
    <x v="0"/>
    <x v="1"/>
    <n v="130"/>
    <x v="72"/>
    <s v="Female"/>
    <n v="25"/>
    <s v="A1"/>
    <n v="128.76923076923077"/>
  </r>
  <r>
    <x v="82"/>
    <x v="18"/>
    <s v="West"/>
    <x v="4"/>
    <x v="2"/>
    <n v="545"/>
    <x v="73"/>
    <s v="Female"/>
    <n v="26"/>
    <s v="A1"/>
    <n v="119.72477064220183"/>
  </r>
  <r>
    <x v="83"/>
    <x v="68"/>
    <s v="West"/>
    <x v="5"/>
    <x v="3"/>
    <n v="84"/>
    <x v="74"/>
    <s v="Female"/>
    <n v="28"/>
    <s v="A1"/>
    <n v="127.23809523809524"/>
  </r>
  <r>
    <x v="84"/>
    <x v="69"/>
    <s v="West"/>
    <x v="7"/>
    <x v="3"/>
    <n v="192"/>
    <x v="75"/>
    <s v="Female"/>
    <n v="42"/>
    <s v="A2"/>
    <n v="97.125"/>
  </r>
  <r>
    <x v="85"/>
    <x v="70"/>
    <s v="South"/>
    <x v="5"/>
    <x v="0"/>
    <n v="60"/>
    <x v="76"/>
    <s v="Male"/>
    <n v="28"/>
    <s v="A1"/>
    <n v="97.033333333333331"/>
  </r>
  <r>
    <x v="86"/>
    <x v="71"/>
    <s v="West"/>
    <x v="7"/>
    <x v="1"/>
    <n v="209"/>
    <x v="77"/>
    <s v="Female"/>
    <n v="42"/>
    <s v="A2"/>
    <n v="245.07655502392345"/>
  </r>
  <r>
    <x v="87"/>
    <x v="72"/>
    <s v="North"/>
    <x v="5"/>
    <x v="1"/>
    <n v="264"/>
    <x v="78"/>
    <s v="Female"/>
    <n v="28"/>
    <s v="A1"/>
    <n v="285.34848484848487"/>
  </r>
  <r>
    <x v="88"/>
    <x v="73"/>
    <s v="West"/>
    <x v="4"/>
    <x v="3"/>
    <n v="97"/>
    <x v="13"/>
    <s v="Female"/>
    <n v="26"/>
    <s v="A1"/>
    <n v="7"/>
  </r>
  <r>
    <x v="89"/>
    <x v="74"/>
    <s v="West"/>
    <x v="4"/>
    <x v="1"/>
    <n v="404"/>
    <x v="79"/>
    <s v="Female"/>
    <n v="26"/>
    <s v="A1"/>
    <n v="32.945544554455445"/>
  </r>
  <r>
    <x v="90"/>
    <x v="75"/>
    <s v="North"/>
    <x v="7"/>
    <x v="2"/>
    <n v="386"/>
    <x v="80"/>
    <s v="Male"/>
    <n v="42"/>
    <s v="A2"/>
    <n v="124.2279792746114"/>
  </r>
  <r>
    <x v="91"/>
    <x v="76"/>
    <s v="South"/>
    <x v="0"/>
    <x v="2"/>
    <n v="214"/>
    <x v="81"/>
    <s v="Male"/>
    <n v="25"/>
    <s v="A1"/>
    <n v="23.289719626168225"/>
  </r>
  <r>
    <x v="92"/>
    <x v="77"/>
    <s v="South"/>
    <x v="6"/>
    <x v="0"/>
    <n v="366"/>
    <x v="82"/>
    <s v="Male"/>
    <n v="28"/>
    <s v="A1"/>
    <n v="11.28688524590164"/>
  </r>
  <r>
    <x v="93"/>
    <x v="78"/>
    <s v="North"/>
    <x v="8"/>
    <x v="0"/>
    <n v="173"/>
    <x v="83"/>
    <s v="Male"/>
    <n v="25"/>
    <s v="A1"/>
    <n v="141.90173410404626"/>
  </r>
  <r>
    <x v="94"/>
    <x v="79"/>
    <s v="North"/>
    <x v="7"/>
    <x v="1"/>
    <n v="306"/>
    <x v="13"/>
    <s v="Female"/>
    <n v="42"/>
    <s v="A2"/>
    <n v="2.2189542483660132"/>
  </r>
  <r>
    <x v="95"/>
    <x v="80"/>
    <s v="North"/>
    <x v="5"/>
    <x v="0"/>
    <n v="128"/>
    <x v="84"/>
    <s v="Male"/>
    <n v="28"/>
    <s v="A1"/>
    <n v="274.125"/>
  </r>
  <r>
    <x v="96"/>
    <x v="81"/>
    <s v="West"/>
    <x v="0"/>
    <x v="3"/>
    <n v="368"/>
    <x v="85"/>
    <s v="Female"/>
    <n v="25"/>
    <s v="A1"/>
    <n v="68.625"/>
  </r>
  <r>
    <x v="97"/>
    <x v="82"/>
    <s v="West"/>
    <x v="3"/>
    <x v="2"/>
    <n v="222"/>
    <x v="86"/>
    <s v="Male"/>
    <n v="57"/>
    <s v="A3"/>
    <n v="78.828828828828833"/>
  </r>
  <r>
    <x v="98"/>
    <x v="83"/>
    <s v="West"/>
    <x v="7"/>
    <x v="3"/>
    <n v="216"/>
    <x v="87"/>
    <s v="Female"/>
    <n v="42"/>
    <s v="A2"/>
    <n v="170.99074074074073"/>
  </r>
  <r>
    <x v="99"/>
    <x v="26"/>
    <s v="West"/>
    <x v="1"/>
    <x v="3"/>
    <n v="307"/>
    <x v="13"/>
    <s v="Female"/>
    <n v="52"/>
    <s v="A3"/>
    <n v="2.2117263843648209"/>
  </r>
  <r>
    <x v="100"/>
    <x v="15"/>
    <s v="South"/>
    <x v="0"/>
    <x v="1"/>
    <n v="384"/>
    <x v="88"/>
    <s v="Female"/>
    <n v="25"/>
    <s v="A1"/>
    <n v="105.63802083333333"/>
  </r>
  <r>
    <x v="101"/>
    <x v="84"/>
    <s v="East"/>
    <x v="4"/>
    <x v="0"/>
    <n v="376"/>
    <x v="13"/>
    <s v="Female"/>
    <n v="26"/>
    <s v="A1"/>
    <n v="1.8058510638297873"/>
  </r>
  <r>
    <x v="102"/>
    <x v="85"/>
    <s v="East"/>
    <x v="3"/>
    <x v="0"/>
    <n v="97"/>
    <x v="13"/>
    <s v="Female"/>
    <n v="57"/>
    <s v="A3"/>
    <n v="7"/>
  </r>
  <r>
    <x v="103"/>
    <x v="86"/>
    <s v="West"/>
    <x v="7"/>
    <x v="2"/>
    <n v="359"/>
    <x v="89"/>
    <s v="Male"/>
    <n v="42"/>
    <s v="A2"/>
    <n v="35.523676880222844"/>
  </r>
  <r>
    <x v="104"/>
    <x v="5"/>
    <s v="North"/>
    <x v="7"/>
    <x v="2"/>
    <n v="318"/>
    <x v="90"/>
    <s v="Male"/>
    <n v="42"/>
    <s v="A2"/>
    <n v="53.031446540880502"/>
  </r>
  <r>
    <x v="105"/>
    <x v="87"/>
    <s v="South"/>
    <x v="7"/>
    <x v="0"/>
    <n v="51"/>
    <x v="91"/>
    <s v="Female"/>
    <n v="42"/>
    <s v="A2"/>
    <n v="1115.4509803921569"/>
  </r>
  <r>
    <x v="106"/>
    <x v="88"/>
    <s v="East"/>
    <x v="5"/>
    <x v="2"/>
    <n v="236"/>
    <x v="13"/>
    <s v="Unknown"/>
    <n v="28"/>
    <s v="A1"/>
    <n v="2.8771186440677967"/>
  </r>
  <r>
    <x v="107"/>
    <x v="89"/>
    <s v="West"/>
    <x v="7"/>
    <x v="0"/>
    <n v="214"/>
    <x v="92"/>
    <s v="Male"/>
    <n v="42"/>
    <s v="A2"/>
    <n v="145.42990654205607"/>
  </r>
  <r>
    <x v="108"/>
    <x v="90"/>
    <s v="East"/>
    <x v="6"/>
    <x v="0"/>
    <n v="86"/>
    <x v="93"/>
    <s v="Female"/>
    <n v="28"/>
    <s v="A1"/>
    <n v="300.61627906976742"/>
  </r>
  <r>
    <x v="109"/>
    <x v="91"/>
    <s v="West"/>
    <x v="1"/>
    <x v="2"/>
    <n v="155"/>
    <x v="94"/>
    <s v="Female"/>
    <n v="52"/>
    <s v="A3"/>
    <n v="71.561290322580646"/>
  </r>
  <r>
    <x v="110"/>
    <x v="84"/>
    <s v="North"/>
    <x v="4"/>
    <x v="3"/>
    <n v="319"/>
    <x v="95"/>
    <s v="Male"/>
    <n v="26"/>
    <s v="A1"/>
    <n v="13.231974921630094"/>
  </r>
  <r>
    <x v="111"/>
    <x v="92"/>
    <s v="East"/>
    <x v="8"/>
    <x v="0"/>
    <n v="62"/>
    <x v="96"/>
    <s v="Male"/>
    <n v="25"/>
    <s v="A1"/>
    <n v="508.06451612903226"/>
  </r>
  <r>
    <x v="112"/>
    <x v="93"/>
    <s v="East"/>
    <x v="4"/>
    <x v="0"/>
    <n v="81"/>
    <x v="97"/>
    <s v="Female"/>
    <n v="26"/>
    <s v="A1"/>
    <n v="387.82716049382714"/>
  </r>
  <r>
    <x v="113"/>
    <x v="94"/>
    <s v="North"/>
    <x v="3"/>
    <x v="0"/>
    <n v="126"/>
    <x v="98"/>
    <s v="Unknown"/>
    <n v="57"/>
    <s v="A3"/>
    <n v="321"/>
  </r>
  <r>
    <x v="114"/>
    <x v="60"/>
    <s v="West"/>
    <x v="4"/>
    <x v="0"/>
    <n v="541"/>
    <x v="99"/>
    <s v="Female"/>
    <n v="26"/>
    <s v="A1"/>
    <n v="78.432532347504619"/>
  </r>
  <r>
    <x v="115"/>
    <x v="95"/>
    <s v="North"/>
    <x v="5"/>
    <x v="1"/>
    <n v="666"/>
    <x v="100"/>
    <s v="Male"/>
    <n v="28"/>
    <s v="A1"/>
    <n v="97.049549549549553"/>
  </r>
  <r>
    <x v="116"/>
    <x v="96"/>
    <s v="North"/>
    <x v="4"/>
    <x v="3"/>
    <n v="527"/>
    <x v="101"/>
    <s v="Male"/>
    <n v="26"/>
    <s v="A1"/>
    <n v="97.092979127134726"/>
  </r>
  <r>
    <x v="117"/>
    <x v="97"/>
    <s v="West"/>
    <x v="7"/>
    <x v="0"/>
    <n v="289"/>
    <x v="102"/>
    <s v="Male"/>
    <n v="42"/>
    <s v="A2"/>
    <n v="86.325259515570934"/>
  </r>
  <r>
    <x v="118"/>
    <x v="72"/>
    <s v="West"/>
    <x v="3"/>
    <x v="3"/>
    <n v="199"/>
    <x v="103"/>
    <s v="Unknown"/>
    <n v="57"/>
    <s v="A3"/>
    <n v="282"/>
  </r>
  <r>
    <x v="119"/>
    <x v="98"/>
    <s v="East"/>
    <x v="2"/>
    <x v="0"/>
    <n v="497"/>
    <x v="104"/>
    <s v="Female"/>
    <n v="36"/>
    <s v="A2"/>
    <n v="93.6579476861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A3922-BDF3-4892-AD5F-E0F1443D78BD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8" firstHeaderRow="1" firstDataRow="1" firstDataCol="1"/>
  <pivotFields count="11">
    <pivotField numFmtId="165" showAll="0"/>
    <pivotField numFmtId="165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numFmtId="165" showAll="0"/>
    <pivotField dataField="1" numFmtId="165" showAll="0">
      <items count="106">
        <item x="13"/>
        <item x="71"/>
        <item x="58"/>
        <item x="49"/>
        <item x="82"/>
        <item x="95"/>
        <item x="81"/>
        <item x="30"/>
        <item x="76"/>
        <item x="64"/>
        <item x="27"/>
        <item x="56"/>
        <item x="74"/>
        <item x="41"/>
        <item x="94"/>
        <item x="20"/>
        <item x="6"/>
        <item x="44"/>
        <item x="65"/>
        <item x="89"/>
        <item x="37"/>
        <item x="79"/>
        <item x="26"/>
        <item x="47"/>
        <item x="52"/>
        <item x="36"/>
        <item x="29"/>
        <item x="60"/>
        <item x="72"/>
        <item x="90"/>
        <item x="3"/>
        <item x="86"/>
        <item x="75"/>
        <item x="15"/>
        <item x="5"/>
        <item x="0"/>
        <item x="83"/>
        <item x="102"/>
        <item x="85"/>
        <item x="67"/>
        <item x="93"/>
        <item x="8"/>
        <item x="11"/>
        <item x="19"/>
        <item x="61"/>
        <item x="59"/>
        <item x="55"/>
        <item x="46"/>
        <item x="92"/>
        <item x="24"/>
        <item x="97"/>
        <item x="96"/>
        <item x="42"/>
        <item x="43"/>
        <item x="48"/>
        <item x="21"/>
        <item x="33"/>
        <item x="68"/>
        <item x="84"/>
        <item x="38"/>
        <item x="45"/>
        <item x="87"/>
        <item x="62"/>
        <item x="39"/>
        <item x="31"/>
        <item x="17"/>
        <item x="9"/>
        <item x="14"/>
        <item x="98"/>
        <item x="88"/>
        <item x="4"/>
        <item x="66"/>
        <item x="22"/>
        <item x="99"/>
        <item x="23"/>
        <item x="35"/>
        <item x="57"/>
        <item x="70"/>
        <item x="69"/>
        <item x="40"/>
        <item x="104"/>
        <item x="10"/>
        <item x="63"/>
        <item x="25"/>
        <item x="80"/>
        <item x="32"/>
        <item x="28"/>
        <item x="34"/>
        <item x="18"/>
        <item x="101"/>
        <item x="77"/>
        <item x="7"/>
        <item x="103"/>
        <item x="91"/>
        <item x="53"/>
        <item x="50"/>
        <item x="54"/>
        <item x="51"/>
        <item x="12"/>
        <item x="100"/>
        <item x="16"/>
        <item x="73"/>
        <item x="1"/>
        <item x="78"/>
        <item x="2"/>
        <item t="default"/>
      </items>
    </pivotField>
    <pivotField showAll="0"/>
    <pivotField numFmtId="165" showAll="0"/>
    <pivotField showAll="0"/>
    <pivotField numFmtId="165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Cost" fld="6" baseField="0" baseItem="0" numFmtId="165"/>
  </dataFields>
  <formats count="2">
    <format dxfId="1">
      <pivotArea collapsedLevelsAreSubtotals="1" fieldPosition="0">
        <references count="1">
          <reference field="4" count="1">
            <x v="2"/>
          </reference>
        </references>
      </pivotArea>
    </format>
    <format dxfId="0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EB9D9-F090-423D-B8C8-64F97B8F4E96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11">
    <pivotField dataField="1" numFmtId="165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5" showAll="0"/>
    <pivotField showAll="0"/>
    <pivotField axis="axisRow" showAll="0">
      <items count="11">
        <item x="5"/>
        <item x="9"/>
        <item x="6"/>
        <item x="8"/>
        <item x="4"/>
        <item x="0"/>
        <item x="1"/>
        <item x="3"/>
        <item x="7"/>
        <item x="2"/>
        <item t="default"/>
      </items>
    </pivotField>
    <pivotField showAll="0"/>
    <pivotField numFmtId="165" showAll="0"/>
    <pivotField numFmtId="165" showAll="0"/>
    <pivotField showAll="0"/>
    <pivotField numFmtId="165" showAll="0"/>
    <pivotField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roductionID" fld="0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1FBD4-E2DA-4334-A46A-214FF74EEC8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3" firstHeaderRow="1" firstDataRow="1" firstDataCol="1"/>
  <pivotFields count="11">
    <pivotField numFmtId="165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Row" numFmtId="14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showAll="0"/>
    <pivotField showAll="0"/>
    <pivotField showAll="0"/>
    <pivotField dataField="1" numFmtId="165" showAll="0"/>
    <pivotField numFmtId="165" showAll="0"/>
    <pivotField showAll="0"/>
    <pivotField numFmtId="165" showAll="0"/>
    <pivotField showAll="0"/>
    <pivotField numFmtId="165" showAll="0"/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Sum of UnitsProduced" fld="5" baseField="0" baseItem="0" numFmtId="165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7E888-2627-4615-A08F-3C406BC2CD13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1">
    <pivotField numFmtId="165" showAll="0"/>
    <pivotField numFmtId="165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numFmtId="165" showAll="0"/>
    <pivotField numFmtId="165" showAll="0"/>
    <pivotField showAll="0"/>
    <pivotField numFmtId="165" showAll="0"/>
    <pivotField showAll="0"/>
    <pivotField dataField="1" numFmtId="165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on Cost per unit" fld="10" subtotal="average" baseField="4" baseItem="0" numFmtId="165"/>
  </dataFields>
  <chartFormats count="1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9C1F-58C8-4B62-B299-B4538845E320}">
  <dimension ref="A3:B21"/>
  <sheetViews>
    <sheetView workbookViewId="0">
      <selection activeCell="B13" sqref="B13"/>
    </sheetView>
  </sheetViews>
  <sheetFormatPr defaultRowHeight="14.25" x14ac:dyDescent="0.45"/>
  <cols>
    <col min="1" max="1" width="12.06640625" bestFit="1" customWidth="1"/>
    <col min="2" max="2" width="14.59765625" bestFit="1" customWidth="1"/>
    <col min="3" max="3" width="9.46484375" bestFit="1" customWidth="1"/>
    <col min="4" max="4" width="8.3984375" bestFit="1" customWidth="1"/>
    <col min="5" max="5" width="9.33203125" bestFit="1" customWidth="1"/>
    <col min="6" max="6" width="10.19921875" bestFit="1" customWidth="1"/>
  </cols>
  <sheetData>
    <row r="3" spans="1:2" x14ac:dyDescent="0.45">
      <c r="A3" s="3" t="s">
        <v>32</v>
      </c>
      <c r="B3" t="s">
        <v>34</v>
      </c>
    </row>
    <row r="4" spans="1:2" x14ac:dyDescent="0.45">
      <c r="A4" s="5" t="s">
        <v>10</v>
      </c>
      <c r="B4" s="2">
        <v>1152805</v>
      </c>
    </row>
    <row r="5" spans="1:2" x14ac:dyDescent="0.45">
      <c r="A5" s="5" t="s">
        <v>23</v>
      </c>
      <c r="B5" s="2">
        <v>604575</v>
      </c>
    </row>
    <row r="6" spans="1:2" x14ac:dyDescent="0.45">
      <c r="A6" s="5" t="s">
        <v>14</v>
      </c>
      <c r="B6" s="2">
        <v>703282</v>
      </c>
    </row>
    <row r="7" spans="1:2" x14ac:dyDescent="0.45">
      <c r="A7" s="5" t="s">
        <v>17</v>
      </c>
      <c r="B7" s="2">
        <v>910416</v>
      </c>
    </row>
    <row r="8" spans="1:2" x14ac:dyDescent="0.45">
      <c r="A8" s="5" t="s">
        <v>33</v>
      </c>
      <c r="B8" s="2">
        <v>3371078</v>
      </c>
    </row>
    <row r="9" spans="1:2" x14ac:dyDescent="0.45">
      <c r="B9" s="2"/>
    </row>
    <row r="14" spans="1:2" x14ac:dyDescent="0.45">
      <c r="B14" s="6"/>
    </row>
    <row r="16" spans="1:2" x14ac:dyDescent="0.45">
      <c r="B16" s="7"/>
    </row>
    <row r="21" spans="2:2" x14ac:dyDescent="0.45">
      <c r="B21" s="7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B0A9-D165-4A6A-965C-D1FFE06770A8}">
  <dimension ref="A3:B18"/>
  <sheetViews>
    <sheetView workbookViewId="0">
      <selection activeCell="B25" sqref="B25"/>
    </sheetView>
  </sheetViews>
  <sheetFormatPr defaultRowHeight="14.25" x14ac:dyDescent="0.45"/>
  <cols>
    <col min="1" max="1" width="12.06640625" bestFit="1" customWidth="1"/>
    <col min="2" max="2" width="19" bestFit="1" customWidth="1"/>
  </cols>
  <sheetData>
    <row r="3" spans="1:2" x14ac:dyDescent="0.45">
      <c r="A3" s="3" t="s">
        <v>32</v>
      </c>
      <c r="B3" t="s">
        <v>35</v>
      </c>
    </row>
    <row r="4" spans="1:2" x14ac:dyDescent="0.45">
      <c r="A4" s="5" t="s">
        <v>21</v>
      </c>
      <c r="B4" s="8">
        <v>10</v>
      </c>
    </row>
    <row r="5" spans="1:2" x14ac:dyDescent="0.45">
      <c r="A5" s="5" t="s">
        <v>26</v>
      </c>
      <c r="B5" s="8">
        <v>6</v>
      </c>
    </row>
    <row r="6" spans="1:2" x14ac:dyDescent="0.45">
      <c r="A6" s="5" t="s">
        <v>22</v>
      </c>
      <c r="B6" s="8">
        <v>6</v>
      </c>
    </row>
    <row r="7" spans="1:2" x14ac:dyDescent="0.45">
      <c r="A7" s="5" t="s">
        <v>25</v>
      </c>
      <c r="B7" s="8">
        <v>6</v>
      </c>
    </row>
    <row r="8" spans="1:2" x14ac:dyDescent="0.45">
      <c r="A8" s="5" t="s">
        <v>20</v>
      </c>
      <c r="B8" s="8">
        <v>18</v>
      </c>
    </row>
    <row r="9" spans="1:2" x14ac:dyDescent="0.45">
      <c r="A9" s="5" t="s">
        <v>9</v>
      </c>
      <c r="B9" s="8">
        <v>13</v>
      </c>
    </row>
    <row r="10" spans="1:2" x14ac:dyDescent="0.45">
      <c r="A10" s="5" t="s">
        <v>13</v>
      </c>
      <c r="B10" s="8">
        <v>8</v>
      </c>
    </row>
    <row r="11" spans="1:2" x14ac:dyDescent="0.45">
      <c r="A11" s="5" t="s">
        <v>19</v>
      </c>
      <c r="B11" s="8">
        <v>11</v>
      </c>
    </row>
    <row r="12" spans="1:2" x14ac:dyDescent="0.45">
      <c r="A12" s="5" t="s">
        <v>24</v>
      </c>
      <c r="B12" s="8">
        <v>37</v>
      </c>
    </row>
    <row r="13" spans="1:2" x14ac:dyDescent="0.45">
      <c r="A13" s="5" t="s">
        <v>16</v>
      </c>
      <c r="B13" s="8">
        <v>5</v>
      </c>
    </row>
    <row r="14" spans="1:2" x14ac:dyDescent="0.45">
      <c r="A14" s="5" t="s">
        <v>33</v>
      </c>
      <c r="B14" s="8">
        <v>120</v>
      </c>
    </row>
    <row r="18" spans="2:2" x14ac:dyDescent="0.45">
      <c r="B18" s="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C897-899F-4901-8031-997A3B966F0B}">
  <dimension ref="A3:B103"/>
  <sheetViews>
    <sheetView workbookViewId="0">
      <selection activeCell="N18" sqref="N18"/>
    </sheetView>
  </sheetViews>
  <sheetFormatPr defaultRowHeight="14.25" x14ac:dyDescent="0.45"/>
  <cols>
    <col min="1" max="1" width="12.06640625" bestFit="1" customWidth="1"/>
    <col min="2" max="2" width="19.06640625" bestFit="1" customWidth="1"/>
    <col min="3" max="3" width="17" bestFit="1" customWidth="1"/>
  </cols>
  <sheetData>
    <row r="3" spans="1:2" x14ac:dyDescent="0.45">
      <c r="A3" s="3" t="s">
        <v>32</v>
      </c>
      <c r="B3" t="s">
        <v>36</v>
      </c>
    </row>
    <row r="4" spans="1:2" x14ac:dyDescent="0.45">
      <c r="A4" s="10">
        <v>45191</v>
      </c>
      <c r="B4" s="4">
        <v>214</v>
      </c>
    </row>
    <row r="5" spans="1:2" x14ac:dyDescent="0.45">
      <c r="A5" s="10">
        <v>45193</v>
      </c>
      <c r="B5" s="4">
        <v>344</v>
      </c>
    </row>
    <row r="6" spans="1:2" x14ac:dyDescent="0.45">
      <c r="A6" s="10">
        <v>45197</v>
      </c>
      <c r="B6" s="4">
        <v>213</v>
      </c>
    </row>
    <row r="7" spans="1:2" x14ac:dyDescent="0.45">
      <c r="A7" s="10">
        <v>45200</v>
      </c>
      <c r="B7" s="4">
        <v>290</v>
      </c>
    </row>
    <row r="8" spans="1:2" x14ac:dyDescent="0.45">
      <c r="A8" s="10">
        <v>45207</v>
      </c>
      <c r="B8" s="4">
        <v>231</v>
      </c>
    </row>
    <row r="9" spans="1:2" x14ac:dyDescent="0.45">
      <c r="A9" s="10">
        <v>45214</v>
      </c>
      <c r="B9" s="4">
        <v>719</v>
      </c>
    </row>
    <row r="10" spans="1:2" x14ac:dyDescent="0.45">
      <c r="A10" s="10">
        <v>45215</v>
      </c>
      <c r="B10" s="4">
        <v>624</v>
      </c>
    </row>
    <row r="11" spans="1:2" x14ac:dyDescent="0.45">
      <c r="A11" s="10">
        <v>45216</v>
      </c>
      <c r="B11" s="4">
        <v>63</v>
      </c>
    </row>
    <row r="12" spans="1:2" x14ac:dyDescent="0.45">
      <c r="A12" s="10">
        <v>45217</v>
      </c>
      <c r="B12" s="4">
        <v>263</v>
      </c>
    </row>
    <row r="13" spans="1:2" x14ac:dyDescent="0.45">
      <c r="A13" s="10">
        <v>45221</v>
      </c>
      <c r="B13" s="4">
        <v>165</v>
      </c>
    </row>
    <row r="14" spans="1:2" x14ac:dyDescent="0.45">
      <c r="A14" s="10">
        <v>45228</v>
      </c>
      <c r="B14" s="4">
        <v>288</v>
      </c>
    </row>
    <row r="15" spans="1:2" x14ac:dyDescent="0.45">
      <c r="A15" s="10">
        <v>45230</v>
      </c>
      <c r="B15" s="4">
        <v>460</v>
      </c>
    </row>
    <row r="16" spans="1:2" x14ac:dyDescent="0.45">
      <c r="A16" s="10">
        <v>45232</v>
      </c>
      <c r="B16" s="4">
        <v>876</v>
      </c>
    </row>
    <row r="17" spans="1:2" x14ac:dyDescent="0.45">
      <c r="A17" s="10">
        <v>45233</v>
      </c>
      <c r="B17" s="4">
        <v>126</v>
      </c>
    </row>
    <row r="18" spans="1:2" x14ac:dyDescent="0.45">
      <c r="A18" s="10">
        <v>45234</v>
      </c>
      <c r="B18" s="4">
        <v>177</v>
      </c>
    </row>
    <row r="19" spans="1:2" x14ac:dyDescent="0.45">
      <c r="A19" s="10">
        <v>45235</v>
      </c>
      <c r="B19" s="4">
        <v>439</v>
      </c>
    </row>
    <row r="20" spans="1:2" x14ac:dyDescent="0.45">
      <c r="A20" s="10">
        <v>45240</v>
      </c>
      <c r="B20" s="4">
        <v>666</v>
      </c>
    </row>
    <row r="21" spans="1:2" x14ac:dyDescent="0.45">
      <c r="A21" s="10">
        <v>45243</v>
      </c>
      <c r="B21" s="4">
        <v>359</v>
      </c>
    </row>
    <row r="22" spans="1:2" x14ac:dyDescent="0.45">
      <c r="A22" s="10">
        <v>45249</v>
      </c>
      <c r="B22" s="4">
        <v>511</v>
      </c>
    </row>
    <row r="23" spans="1:2" x14ac:dyDescent="0.45">
      <c r="A23" s="10">
        <v>45251</v>
      </c>
      <c r="B23" s="4">
        <v>333</v>
      </c>
    </row>
    <row r="24" spans="1:2" x14ac:dyDescent="0.45">
      <c r="A24" s="10">
        <v>45252</v>
      </c>
      <c r="B24" s="4">
        <v>354</v>
      </c>
    </row>
    <row r="25" spans="1:2" x14ac:dyDescent="0.45">
      <c r="A25" s="10">
        <v>45254</v>
      </c>
      <c r="B25" s="4">
        <v>876</v>
      </c>
    </row>
    <row r="26" spans="1:2" x14ac:dyDescent="0.45">
      <c r="A26" s="10">
        <v>45256</v>
      </c>
      <c r="B26" s="4">
        <v>86</v>
      </c>
    </row>
    <row r="27" spans="1:2" x14ac:dyDescent="0.45">
      <c r="A27" s="10">
        <v>45264</v>
      </c>
      <c r="B27" s="4">
        <v>214</v>
      </c>
    </row>
    <row r="28" spans="1:2" x14ac:dyDescent="0.45">
      <c r="A28" s="10">
        <v>45273</v>
      </c>
      <c r="B28" s="4">
        <v>289</v>
      </c>
    </row>
    <row r="29" spans="1:2" x14ac:dyDescent="0.45">
      <c r="A29" s="10">
        <v>45274</v>
      </c>
      <c r="B29" s="4">
        <v>97</v>
      </c>
    </row>
    <row r="30" spans="1:2" x14ac:dyDescent="0.45">
      <c r="A30" s="10">
        <v>45277</v>
      </c>
      <c r="B30" s="4">
        <v>366</v>
      </c>
    </row>
    <row r="31" spans="1:2" x14ac:dyDescent="0.45">
      <c r="A31" s="10">
        <v>45282</v>
      </c>
      <c r="B31" s="4">
        <v>222</v>
      </c>
    </row>
    <row r="32" spans="1:2" x14ac:dyDescent="0.45">
      <c r="A32" s="10">
        <v>45286</v>
      </c>
      <c r="B32" s="4">
        <v>902</v>
      </c>
    </row>
    <row r="33" spans="1:2" x14ac:dyDescent="0.45">
      <c r="A33" s="10">
        <v>45289</v>
      </c>
      <c r="B33" s="4">
        <v>404</v>
      </c>
    </row>
    <row r="34" spans="1:2" x14ac:dyDescent="0.45">
      <c r="A34" s="10">
        <v>45292</v>
      </c>
      <c r="B34" s="4">
        <v>160</v>
      </c>
    </row>
    <row r="35" spans="1:2" x14ac:dyDescent="0.45">
      <c r="A35" s="10">
        <v>45293</v>
      </c>
      <c r="B35" s="4">
        <v>368</v>
      </c>
    </row>
    <row r="36" spans="1:2" x14ac:dyDescent="0.45">
      <c r="A36" s="10">
        <v>45294</v>
      </c>
      <c r="B36" s="4">
        <v>180</v>
      </c>
    </row>
    <row r="37" spans="1:2" x14ac:dyDescent="0.45">
      <c r="A37" s="10">
        <v>45296</v>
      </c>
      <c r="B37" s="4">
        <v>713</v>
      </c>
    </row>
    <row r="38" spans="1:2" x14ac:dyDescent="0.45">
      <c r="A38" s="10">
        <v>45299</v>
      </c>
      <c r="B38" s="4">
        <v>447</v>
      </c>
    </row>
    <row r="39" spans="1:2" x14ac:dyDescent="0.45">
      <c r="A39" s="10">
        <v>45304</v>
      </c>
      <c r="B39" s="4">
        <v>250</v>
      </c>
    </row>
    <row r="40" spans="1:2" x14ac:dyDescent="0.45">
      <c r="A40" s="10">
        <v>45305</v>
      </c>
      <c r="B40" s="4">
        <v>463</v>
      </c>
    </row>
    <row r="41" spans="1:2" x14ac:dyDescent="0.45">
      <c r="A41" s="10">
        <v>45307</v>
      </c>
      <c r="B41" s="4">
        <v>60</v>
      </c>
    </row>
    <row r="42" spans="1:2" x14ac:dyDescent="0.45">
      <c r="A42" s="10">
        <v>45309</v>
      </c>
      <c r="B42" s="4">
        <v>192</v>
      </c>
    </row>
    <row r="43" spans="1:2" x14ac:dyDescent="0.45">
      <c r="A43" s="10">
        <v>45318</v>
      </c>
      <c r="B43" s="4">
        <v>193</v>
      </c>
    </row>
    <row r="44" spans="1:2" x14ac:dyDescent="0.45">
      <c r="A44" s="10">
        <v>45329</v>
      </c>
      <c r="B44" s="4">
        <v>214</v>
      </c>
    </row>
    <row r="45" spans="1:2" x14ac:dyDescent="0.45">
      <c r="A45" s="10">
        <v>45330</v>
      </c>
      <c r="B45" s="4">
        <v>209</v>
      </c>
    </row>
    <row r="46" spans="1:2" x14ac:dyDescent="0.45">
      <c r="A46" s="10">
        <v>45335</v>
      </c>
      <c r="B46" s="4">
        <v>526</v>
      </c>
    </row>
    <row r="47" spans="1:2" x14ac:dyDescent="0.45">
      <c r="A47" s="10">
        <v>45339</v>
      </c>
      <c r="B47" s="4">
        <v>499</v>
      </c>
    </row>
    <row r="48" spans="1:2" x14ac:dyDescent="0.45">
      <c r="A48" s="10">
        <v>45347</v>
      </c>
      <c r="B48" s="4">
        <v>128</v>
      </c>
    </row>
    <row r="49" spans="1:2" x14ac:dyDescent="0.45">
      <c r="A49" s="10">
        <v>45348</v>
      </c>
      <c r="B49" s="4">
        <v>97</v>
      </c>
    </row>
    <row r="50" spans="1:2" x14ac:dyDescent="0.45">
      <c r="A50" s="10">
        <v>45350</v>
      </c>
      <c r="B50" s="4">
        <v>2454</v>
      </c>
    </row>
    <row r="51" spans="1:2" x14ac:dyDescent="0.45">
      <c r="A51" s="10">
        <v>45356</v>
      </c>
      <c r="B51" s="4">
        <v>218</v>
      </c>
    </row>
    <row r="52" spans="1:2" x14ac:dyDescent="0.45">
      <c r="A52" s="10">
        <v>45357</v>
      </c>
      <c r="B52" s="4">
        <v>128</v>
      </c>
    </row>
    <row r="53" spans="1:2" x14ac:dyDescent="0.45">
      <c r="A53" s="10">
        <v>45361</v>
      </c>
      <c r="B53" s="4">
        <v>497</v>
      </c>
    </row>
    <row r="54" spans="1:2" x14ac:dyDescent="0.45">
      <c r="A54" s="10">
        <v>45364</v>
      </c>
      <c r="B54" s="4">
        <v>358</v>
      </c>
    </row>
    <row r="55" spans="1:2" x14ac:dyDescent="0.45">
      <c r="A55" s="10">
        <v>45369</v>
      </c>
      <c r="B55" s="4">
        <v>84</v>
      </c>
    </row>
    <row r="56" spans="1:2" x14ac:dyDescent="0.45">
      <c r="A56" s="10">
        <v>45370</v>
      </c>
      <c r="B56" s="4">
        <v>81</v>
      </c>
    </row>
    <row r="57" spans="1:2" x14ac:dyDescent="0.45">
      <c r="A57" s="10">
        <v>45371</v>
      </c>
      <c r="B57" s="4">
        <v>389</v>
      </c>
    </row>
    <row r="58" spans="1:2" x14ac:dyDescent="0.45">
      <c r="A58" s="10">
        <v>45372</v>
      </c>
      <c r="B58" s="4">
        <v>178</v>
      </c>
    </row>
    <row r="59" spans="1:2" x14ac:dyDescent="0.45">
      <c r="A59" s="10">
        <v>45374</v>
      </c>
      <c r="B59" s="4">
        <v>527</v>
      </c>
    </row>
    <row r="60" spans="1:2" x14ac:dyDescent="0.45">
      <c r="A60" s="10">
        <v>45377</v>
      </c>
      <c r="B60" s="4">
        <v>145</v>
      </c>
    </row>
    <row r="61" spans="1:2" x14ac:dyDescent="0.45">
      <c r="A61" s="10">
        <v>45378</v>
      </c>
      <c r="B61" s="4">
        <v>495</v>
      </c>
    </row>
    <row r="62" spans="1:2" x14ac:dyDescent="0.45">
      <c r="A62" s="10">
        <v>45380</v>
      </c>
      <c r="B62" s="4">
        <v>412</v>
      </c>
    </row>
    <row r="63" spans="1:2" x14ac:dyDescent="0.45">
      <c r="A63" s="10">
        <v>45381</v>
      </c>
      <c r="B63" s="4">
        <v>363</v>
      </c>
    </row>
    <row r="64" spans="1:2" x14ac:dyDescent="0.45">
      <c r="A64" s="10">
        <v>45383</v>
      </c>
      <c r="B64" s="4">
        <v>155</v>
      </c>
    </row>
    <row r="65" spans="1:2" x14ac:dyDescent="0.45">
      <c r="A65" s="10">
        <v>45390</v>
      </c>
      <c r="B65" s="4">
        <v>190</v>
      </c>
    </row>
    <row r="66" spans="1:2" x14ac:dyDescent="0.45">
      <c r="A66" s="10">
        <v>45392</v>
      </c>
      <c r="B66" s="4">
        <v>51</v>
      </c>
    </row>
    <row r="67" spans="1:2" x14ac:dyDescent="0.45">
      <c r="A67" s="10">
        <v>45398</v>
      </c>
      <c r="B67" s="4">
        <v>383</v>
      </c>
    </row>
    <row r="68" spans="1:2" x14ac:dyDescent="0.45">
      <c r="A68" s="10">
        <v>45407</v>
      </c>
      <c r="B68" s="4">
        <v>51</v>
      </c>
    </row>
    <row r="69" spans="1:2" x14ac:dyDescent="0.45">
      <c r="A69" s="10">
        <v>45410</v>
      </c>
      <c r="B69" s="4">
        <v>462</v>
      </c>
    </row>
    <row r="70" spans="1:2" x14ac:dyDescent="0.45">
      <c r="A70" s="10">
        <v>45412</v>
      </c>
      <c r="B70" s="4">
        <v>236</v>
      </c>
    </row>
    <row r="71" spans="1:2" x14ac:dyDescent="0.45">
      <c r="A71" s="10">
        <v>45420</v>
      </c>
      <c r="B71" s="4">
        <v>430</v>
      </c>
    </row>
    <row r="72" spans="1:2" x14ac:dyDescent="0.45">
      <c r="A72" s="10">
        <v>45422</v>
      </c>
      <c r="B72" s="4">
        <v>511</v>
      </c>
    </row>
    <row r="73" spans="1:2" x14ac:dyDescent="0.45">
      <c r="A73" s="10">
        <v>45424</v>
      </c>
      <c r="B73" s="4">
        <v>382</v>
      </c>
    </row>
    <row r="74" spans="1:2" x14ac:dyDescent="0.45">
      <c r="A74" s="10">
        <v>45427</v>
      </c>
      <c r="B74" s="4">
        <v>173</v>
      </c>
    </row>
    <row r="75" spans="1:2" x14ac:dyDescent="0.45">
      <c r="A75" s="10">
        <v>45432</v>
      </c>
      <c r="B75" s="4">
        <v>188</v>
      </c>
    </row>
    <row r="76" spans="1:2" x14ac:dyDescent="0.45">
      <c r="A76" s="10">
        <v>45444</v>
      </c>
      <c r="B76" s="4">
        <v>386</v>
      </c>
    </row>
    <row r="77" spans="1:2" x14ac:dyDescent="0.45">
      <c r="A77" s="10">
        <v>45449</v>
      </c>
      <c r="B77" s="4">
        <v>178</v>
      </c>
    </row>
    <row r="78" spans="1:2" x14ac:dyDescent="0.45">
      <c r="A78" s="10">
        <v>45451</v>
      </c>
      <c r="B78" s="4">
        <v>368</v>
      </c>
    </row>
    <row r="79" spans="1:2" x14ac:dyDescent="0.45">
      <c r="A79" s="10">
        <v>45453</v>
      </c>
      <c r="B79" s="4">
        <v>322</v>
      </c>
    </row>
    <row r="80" spans="1:2" x14ac:dyDescent="0.45">
      <c r="A80" s="10">
        <v>45457</v>
      </c>
      <c r="B80" s="4">
        <v>130</v>
      </c>
    </row>
    <row r="81" spans="1:2" x14ac:dyDescent="0.45">
      <c r="A81" s="10">
        <v>45458</v>
      </c>
      <c r="B81" s="4">
        <v>79</v>
      </c>
    </row>
    <row r="82" spans="1:2" x14ac:dyDescent="0.45">
      <c r="A82" s="10">
        <v>45464</v>
      </c>
      <c r="B82" s="4">
        <v>216</v>
      </c>
    </row>
    <row r="83" spans="1:2" x14ac:dyDescent="0.45">
      <c r="A83" s="10">
        <v>45465</v>
      </c>
      <c r="B83" s="4">
        <v>332</v>
      </c>
    </row>
    <row r="84" spans="1:2" x14ac:dyDescent="0.45">
      <c r="A84" s="10">
        <v>45467</v>
      </c>
      <c r="B84" s="4">
        <v>115</v>
      </c>
    </row>
    <row r="85" spans="1:2" x14ac:dyDescent="0.45">
      <c r="A85" s="10">
        <v>45469</v>
      </c>
      <c r="B85" s="4">
        <v>908</v>
      </c>
    </row>
    <row r="86" spans="1:2" x14ac:dyDescent="0.45">
      <c r="A86" s="10">
        <v>45472</v>
      </c>
      <c r="B86" s="4">
        <v>503</v>
      </c>
    </row>
    <row r="87" spans="1:2" x14ac:dyDescent="0.45">
      <c r="A87" s="10">
        <v>45478</v>
      </c>
      <c r="B87" s="4">
        <v>115</v>
      </c>
    </row>
    <row r="88" spans="1:2" x14ac:dyDescent="0.45">
      <c r="A88" s="10">
        <v>45489</v>
      </c>
      <c r="B88" s="4">
        <v>248</v>
      </c>
    </row>
    <row r="89" spans="1:2" x14ac:dyDescent="0.45">
      <c r="A89" s="10">
        <v>45497</v>
      </c>
      <c r="B89" s="4">
        <v>695</v>
      </c>
    </row>
    <row r="90" spans="1:2" x14ac:dyDescent="0.45">
      <c r="A90" s="10">
        <v>45504</v>
      </c>
      <c r="B90" s="4">
        <v>478</v>
      </c>
    </row>
    <row r="91" spans="1:2" x14ac:dyDescent="0.45">
      <c r="A91" s="10">
        <v>45506</v>
      </c>
      <c r="B91" s="4">
        <v>265</v>
      </c>
    </row>
    <row r="92" spans="1:2" x14ac:dyDescent="0.45">
      <c r="A92" s="10">
        <v>45508</v>
      </c>
      <c r="B92" s="4">
        <v>396</v>
      </c>
    </row>
    <row r="93" spans="1:2" x14ac:dyDescent="0.45">
      <c r="A93" s="10">
        <v>45510</v>
      </c>
      <c r="B93" s="4">
        <v>734</v>
      </c>
    </row>
    <row r="94" spans="1:2" x14ac:dyDescent="0.45">
      <c r="A94" s="10">
        <v>45511</v>
      </c>
      <c r="B94" s="4">
        <v>422</v>
      </c>
    </row>
    <row r="95" spans="1:2" x14ac:dyDescent="0.45">
      <c r="A95" s="10">
        <v>45520</v>
      </c>
      <c r="B95" s="4">
        <v>90</v>
      </c>
    </row>
    <row r="96" spans="1:2" x14ac:dyDescent="0.45">
      <c r="A96" s="10">
        <v>45521</v>
      </c>
      <c r="B96" s="4">
        <v>306</v>
      </c>
    </row>
    <row r="97" spans="1:2" x14ac:dyDescent="0.45">
      <c r="A97" s="10">
        <v>45527</v>
      </c>
      <c r="B97" s="4">
        <v>62</v>
      </c>
    </row>
    <row r="98" spans="1:2" x14ac:dyDescent="0.45">
      <c r="A98" s="10">
        <v>45530</v>
      </c>
      <c r="B98" s="4">
        <v>406</v>
      </c>
    </row>
    <row r="99" spans="1:2" x14ac:dyDescent="0.45">
      <c r="A99" s="10">
        <v>45532</v>
      </c>
      <c r="B99" s="4">
        <v>183</v>
      </c>
    </row>
    <row r="100" spans="1:2" x14ac:dyDescent="0.45">
      <c r="A100" s="10">
        <v>45543</v>
      </c>
      <c r="B100" s="4">
        <v>369</v>
      </c>
    </row>
    <row r="101" spans="1:2" x14ac:dyDescent="0.45">
      <c r="A101" s="10">
        <v>45544</v>
      </c>
      <c r="B101" s="4">
        <v>519</v>
      </c>
    </row>
    <row r="102" spans="1:2" x14ac:dyDescent="0.45">
      <c r="A102" s="10">
        <v>45549</v>
      </c>
      <c r="B102" s="4">
        <v>491</v>
      </c>
    </row>
    <row r="103" spans="1:2" x14ac:dyDescent="0.45">
      <c r="A103" s="10" t="s">
        <v>33</v>
      </c>
      <c r="B103" s="4">
        <v>34727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26CD-9FDD-47CB-8DAC-612B0AC54FBA}">
  <dimension ref="A3:F28"/>
  <sheetViews>
    <sheetView workbookViewId="0">
      <selection activeCell="B27" sqref="B27"/>
    </sheetView>
  </sheetViews>
  <sheetFormatPr defaultRowHeight="14.25" x14ac:dyDescent="0.45"/>
  <cols>
    <col min="1" max="1" width="12.06640625" bestFit="1" customWidth="1"/>
    <col min="2" max="2" width="30.19921875" bestFit="1" customWidth="1"/>
  </cols>
  <sheetData>
    <row r="3" spans="1:2" x14ac:dyDescent="0.45">
      <c r="A3" s="3" t="s">
        <v>32</v>
      </c>
      <c r="B3" t="s">
        <v>37</v>
      </c>
    </row>
    <row r="4" spans="1:2" x14ac:dyDescent="0.45">
      <c r="A4" s="5" t="s">
        <v>10</v>
      </c>
      <c r="B4" s="4">
        <v>140.87387695413258</v>
      </c>
    </row>
    <row r="5" spans="1:2" x14ac:dyDescent="0.45">
      <c r="A5" s="5" t="s">
        <v>23</v>
      </c>
      <c r="B5" s="4">
        <v>108.368246516667</v>
      </c>
    </row>
    <row r="6" spans="1:2" x14ac:dyDescent="0.45">
      <c r="A6" s="5" t="s">
        <v>14</v>
      </c>
      <c r="B6" s="4">
        <v>180.4410334877862</v>
      </c>
    </row>
    <row r="7" spans="1:2" x14ac:dyDescent="0.45">
      <c r="A7" s="5" t="s">
        <v>17</v>
      </c>
      <c r="B7" s="4">
        <v>108.97659894637712</v>
      </c>
    </row>
    <row r="8" spans="1:2" x14ac:dyDescent="0.45">
      <c r="A8" s="5" t="s">
        <v>33</v>
      </c>
      <c r="B8" s="4">
        <v>132.39235089555021</v>
      </c>
    </row>
    <row r="10" spans="1:2" x14ac:dyDescent="0.45">
      <c r="B10" s="11"/>
    </row>
    <row r="28" spans="6:6" x14ac:dyDescent="0.45">
      <c r="F28" t="s">
        <v>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zoomScale="115" workbookViewId="0">
      <selection sqref="A1:K121"/>
    </sheetView>
  </sheetViews>
  <sheetFormatPr defaultRowHeight="14.25" x14ac:dyDescent="0.45"/>
  <cols>
    <col min="1" max="1" width="15.796875" customWidth="1"/>
    <col min="2" max="2" width="18.86328125" customWidth="1"/>
    <col min="3" max="3" width="14.1328125" customWidth="1"/>
    <col min="4" max="4" width="16.53125" customWidth="1"/>
    <col min="5" max="5" width="16.19921875" customWidth="1"/>
    <col min="6" max="6" width="16.53125" customWidth="1"/>
    <col min="7" max="7" width="16" customWidth="1"/>
    <col min="8" max="8" width="19" customWidth="1"/>
    <col min="9" max="9" width="15.19921875" bestFit="1" customWidth="1"/>
    <col min="10" max="10" width="15.53125" customWidth="1"/>
    <col min="11" max="11" width="23.3984375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</v>
      </c>
      <c r="J1" s="2" t="s">
        <v>30</v>
      </c>
      <c r="K1" s="2" t="s">
        <v>31</v>
      </c>
    </row>
    <row r="2" spans="1:11" x14ac:dyDescent="0.45">
      <c r="A2" s="2">
        <v>1</v>
      </c>
      <c r="B2" s="1">
        <v>45380</v>
      </c>
      <c r="C2" s="2" t="s">
        <v>8</v>
      </c>
      <c r="D2" s="2" t="s">
        <v>9</v>
      </c>
      <c r="E2" s="2" t="s">
        <v>10</v>
      </c>
      <c r="F2" s="2">
        <v>412</v>
      </c>
      <c r="G2" s="2">
        <v>22288</v>
      </c>
      <c r="H2" s="2" t="s">
        <v>11</v>
      </c>
      <c r="I2" s="2">
        <v>25</v>
      </c>
      <c r="J2" t="str">
        <f>IF(I2&lt;= 35,"A1",IF(I2&lt;= 45,"A2","A3"))</f>
        <v>A1</v>
      </c>
      <c r="K2" s="2">
        <f>G2/F2</f>
        <v>54.097087378640779</v>
      </c>
    </row>
    <row r="3" spans="1:11" x14ac:dyDescent="0.45">
      <c r="A3" s="2">
        <v>2</v>
      </c>
      <c r="B3" s="1">
        <v>45420</v>
      </c>
      <c r="C3" s="2" t="s">
        <v>12</v>
      </c>
      <c r="D3" s="2" t="s">
        <v>13</v>
      </c>
      <c r="E3" s="2" t="s">
        <v>14</v>
      </c>
      <c r="F3" s="2">
        <v>430</v>
      </c>
      <c r="G3" s="2">
        <v>66500</v>
      </c>
      <c r="H3" s="2" t="s">
        <v>11</v>
      </c>
      <c r="I3" s="2">
        <v>52</v>
      </c>
      <c r="J3" t="str">
        <f>IF(I3&lt;= 35,"A1",IF(I3&lt;= 45,"A2","A3"))</f>
        <v>A3</v>
      </c>
      <c r="K3" s="2">
        <f t="shared" ref="K3:K66" si="0">G3/F3</f>
        <v>154.65116279069767</v>
      </c>
    </row>
    <row r="4" spans="1:11" x14ac:dyDescent="0.45">
      <c r="A4" s="2">
        <v>3</v>
      </c>
      <c r="B4" s="1">
        <v>45504</v>
      </c>
      <c r="C4" s="2" t="s">
        <v>15</v>
      </c>
      <c r="D4" s="2" t="s">
        <v>16</v>
      </c>
      <c r="E4" s="2" t="s">
        <v>17</v>
      </c>
      <c r="F4" s="2">
        <v>478</v>
      </c>
      <c r="G4" s="2">
        <v>76076</v>
      </c>
      <c r="H4" s="2" t="s">
        <v>18</v>
      </c>
      <c r="I4" s="2">
        <v>36</v>
      </c>
      <c r="J4" t="str">
        <f>IF(I4&lt;= 35,"A1",IF(I4&lt;= 45,"A2","A3"))</f>
        <v>A2</v>
      </c>
      <c r="K4" s="2">
        <f t="shared" si="0"/>
        <v>159.15481171548117</v>
      </c>
    </row>
    <row r="5" spans="1:11" x14ac:dyDescent="0.45">
      <c r="A5" s="2">
        <v>4</v>
      </c>
      <c r="B5" s="1">
        <v>45214</v>
      </c>
      <c r="C5" s="2" t="s">
        <v>12</v>
      </c>
      <c r="D5" s="2" t="s">
        <v>19</v>
      </c>
      <c r="E5" s="2" t="s">
        <v>17</v>
      </c>
      <c r="F5" s="2">
        <v>459</v>
      </c>
      <c r="G5" s="2">
        <v>17069</v>
      </c>
      <c r="H5" s="2" t="s">
        <v>28</v>
      </c>
      <c r="I5" s="2">
        <v>57</v>
      </c>
      <c r="J5" t="str">
        <f>IF(I5&lt;= 35,"A1",IF(I5&lt;= 45,"A2","A3"))</f>
        <v>A3</v>
      </c>
      <c r="K5" s="2">
        <f t="shared" si="0"/>
        <v>37.187363834422655</v>
      </c>
    </row>
    <row r="6" spans="1:11" x14ac:dyDescent="0.45">
      <c r="A6" s="2">
        <v>5</v>
      </c>
      <c r="B6" s="1">
        <v>45449</v>
      </c>
      <c r="C6" s="2" t="s">
        <v>8</v>
      </c>
      <c r="D6" s="2" t="s">
        <v>20</v>
      </c>
      <c r="E6" s="2" t="s">
        <v>17</v>
      </c>
      <c r="F6" s="2">
        <v>178</v>
      </c>
      <c r="G6" s="2">
        <v>41349</v>
      </c>
      <c r="H6" s="2" t="s">
        <v>18</v>
      </c>
      <c r="I6" s="2">
        <v>26</v>
      </c>
      <c r="J6" t="str">
        <f>IF(I6&lt;= 35,"A1",IF(I6&lt;= 45,"A2","A3"))</f>
        <v>A1</v>
      </c>
      <c r="K6" s="2">
        <f t="shared" si="0"/>
        <v>232.29775280898878</v>
      </c>
    </row>
    <row r="7" spans="1:11" x14ac:dyDescent="0.45">
      <c r="A7" s="2">
        <v>6</v>
      </c>
      <c r="B7" s="1">
        <v>45350</v>
      </c>
      <c r="C7" s="2" t="s">
        <v>12</v>
      </c>
      <c r="D7" s="2" t="s">
        <v>20</v>
      </c>
      <c r="E7" s="2" t="s">
        <v>17</v>
      </c>
      <c r="F7" s="2">
        <v>401</v>
      </c>
      <c r="G7" s="2">
        <v>19691</v>
      </c>
      <c r="H7" s="2" t="s">
        <v>18</v>
      </c>
      <c r="I7" s="2">
        <v>26</v>
      </c>
      <c r="J7" t="str">
        <f>IF(I7&lt;= 35,"A1",IF(I7&lt;= 45,"A2","A3"))</f>
        <v>A1</v>
      </c>
      <c r="K7" s="2">
        <f t="shared" si="0"/>
        <v>49.104738154613464</v>
      </c>
    </row>
    <row r="8" spans="1:11" x14ac:dyDescent="0.45">
      <c r="A8" s="2">
        <v>7</v>
      </c>
      <c r="B8" s="1">
        <v>45472</v>
      </c>
      <c r="C8" s="2" t="s">
        <v>12</v>
      </c>
      <c r="D8" s="2" t="s">
        <v>21</v>
      </c>
      <c r="E8" s="2" t="s">
        <v>17</v>
      </c>
      <c r="F8" s="2">
        <v>68</v>
      </c>
      <c r="G8" s="2">
        <v>11696</v>
      </c>
      <c r="H8" s="2" t="s">
        <v>18</v>
      </c>
      <c r="I8" s="2">
        <v>28</v>
      </c>
      <c r="J8" t="str">
        <f>IF(I8&lt;= 35,"A1",IF(I8&lt;= 45,"A2","A3"))</f>
        <v>A1</v>
      </c>
      <c r="K8" s="2">
        <f t="shared" si="0"/>
        <v>172</v>
      </c>
    </row>
    <row r="9" spans="1:11" x14ac:dyDescent="0.45">
      <c r="A9" s="2">
        <v>8</v>
      </c>
      <c r="B9" s="1">
        <v>45299</v>
      </c>
      <c r="C9" s="2" t="s">
        <v>12</v>
      </c>
      <c r="D9" s="2" t="s">
        <v>22</v>
      </c>
      <c r="E9" s="2" t="s">
        <v>23</v>
      </c>
      <c r="F9" s="2">
        <v>447</v>
      </c>
      <c r="G9" s="2">
        <v>52269</v>
      </c>
      <c r="H9" s="2" t="s">
        <v>18</v>
      </c>
      <c r="I9" s="2">
        <v>28</v>
      </c>
      <c r="J9" t="str">
        <f>IF(I9&lt;= 35,"A1",IF(I9&lt;= 45,"A2","A3"))</f>
        <v>A1</v>
      </c>
      <c r="K9" s="2">
        <f t="shared" si="0"/>
        <v>116.93288590604027</v>
      </c>
    </row>
    <row r="10" spans="1:11" x14ac:dyDescent="0.45">
      <c r="A10" s="2">
        <v>9</v>
      </c>
      <c r="B10" s="1">
        <v>45217</v>
      </c>
      <c r="C10" s="2" t="s">
        <v>12</v>
      </c>
      <c r="D10" s="2" t="s">
        <v>24</v>
      </c>
      <c r="E10" s="2" t="s">
        <v>23</v>
      </c>
      <c r="F10" s="2">
        <v>55</v>
      </c>
      <c r="G10" s="2">
        <v>25893</v>
      </c>
      <c r="H10" s="2" t="s">
        <v>18</v>
      </c>
      <c r="I10" s="2">
        <v>42</v>
      </c>
      <c r="J10" t="str">
        <f>IF(I10&lt;= 35,"A1",IF(I10&lt;= 45,"A2","A3"))</f>
        <v>A2</v>
      </c>
      <c r="K10" s="2">
        <f t="shared" si="0"/>
        <v>470.78181818181821</v>
      </c>
    </row>
    <row r="11" spans="1:11" x14ac:dyDescent="0.45">
      <c r="A11" s="2">
        <v>10</v>
      </c>
      <c r="B11" s="1">
        <v>45508</v>
      </c>
      <c r="C11" s="2" t="s">
        <v>12</v>
      </c>
      <c r="D11" s="2" t="s">
        <v>24</v>
      </c>
      <c r="E11" s="2" t="s">
        <v>10</v>
      </c>
      <c r="F11" s="2">
        <v>396</v>
      </c>
      <c r="G11" s="2">
        <v>38480</v>
      </c>
      <c r="H11" s="2" t="s">
        <v>11</v>
      </c>
      <c r="I11" s="2">
        <v>42</v>
      </c>
      <c r="J11" t="str">
        <f>IF(I11&lt;= 35,"A1",IF(I11&lt;= 45,"A2","A3"))</f>
        <v>A2</v>
      </c>
      <c r="K11" s="2">
        <f t="shared" si="0"/>
        <v>97.171717171717177</v>
      </c>
    </row>
    <row r="12" spans="1:11" x14ac:dyDescent="0.45">
      <c r="A12" s="2">
        <v>11</v>
      </c>
      <c r="B12" s="1">
        <v>45335</v>
      </c>
      <c r="C12" s="2" t="s">
        <v>12</v>
      </c>
      <c r="D12" s="2" t="s">
        <v>25</v>
      </c>
      <c r="E12" s="2" t="s">
        <v>17</v>
      </c>
      <c r="F12" s="2">
        <v>494</v>
      </c>
      <c r="G12" s="2">
        <v>46767</v>
      </c>
      <c r="H12" s="2" t="s">
        <v>11</v>
      </c>
      <c r="I12" s="2">
        <v>25</v>
      </c>
      <c r="J12" t="str">
        <f>IF(I12&lt;= 35,"A1",IF(I12&lt;= 45,"A2","A3"))</f>
        <v>A1</v>
      </c>
      <c r="K12" s="2">
        <f t="shared" si="0"/>
        <v>94.670040485829958</v>
      </c>
    </row>
    <row r="13" spans="1:11" x14ac:dyDescent="0.45">
      <c r="A13" s="2">
        <v>12</v>
      </c>
      <c r="B13" s="1">
        <v>45410</v>
      </c>
      <c r="C13" s="2" t="s">
        <v>12</v>
      </c>
      <c r="D13" s="2" t="s">
        <v>25</v>
      </c>
      <c r="E13" s="2" t="s">
        <v>10</v>
      </c>
      <c r="F13" s="2">
        <v>462</v>
      </c>
      <c r="G13" s="2">
        <v>26145</v>
      </c>
      <c r="H13" s="2" t="s">
        <v>28</v>
      </c>
      <c r="I13" s="2">
        <v>25</v>
      </c>
      <c r="J13" t="str">
        <f>IF(I13&lt;= 35,"A1",IF(I13&lt;= 45,"A2","A3"))</f>
        <v>A1</v>
      </c>
      <c r="K13" s="2">
        <f t="shared" si="0"/>
        <v>56.590909090909093</v>
      </c>
    </row>
    <row r="14" spans="1:11" x14ac:dyDescent="0.45">
      <c r="A14" s="2">
        <v>13</v>
      </c>
      <c r="B14" s="1">
        <v>45472</v>
      </c>
      <c r="C14" s="2" t="s">
        <v>15</v>
      </c>
      <c r="D14" s="2" t="s">
        <v>9</v>
      </c>
      <c r="E14" s="2" t="s">
        <v>23</v>
      </c>
      <c r="F14" s="2">
        <v>435</v>
      </c>
      <c r="G14" s="2">
        <v>64090</v>
      </c>
      <c r="H14" s="2" t="s">
        <v>11</v>
      </c>
      <c r="I14" s="2">
        <v>25</v>
      </c>
      <c r="J14" t="str">
        <f>IF(I14&lt;= 35,"A1",IF(I14&lt;= 45,"A2","A3"))</f>
        <v>A1</v>
      </c>
      <c r="K14" s="2">
        <f t="shared" si="0"/>
        <v>147.33333333333334</v>
      </c>
    </row>
    <row r="15" spans="1:11" x14ac:dyDescent="0.45">
      <c r="A15" s="2">
        <v>14</v>
      </c>
      <c r="B15" s="1">
        <v>45465</v>
      </c>
      <c r="C15" s="2" t="s">
        <v>8</v>
      </c>
      <c r="D15" s="2" t="s">
        <v>20</v>
      </c>
      <c r="E15" s="2" t="s">
        <v>10</v>
      </c>
      <c r="F15" s="2">
        <v>332</v>
      </c>
      <c r="G15" s="2">
        <v>679</v>
      </c>
      <c r="H15" s="2" t="s">
        <v>11</v>
      </c>
      <c r="I15" s="2">
        <v>26</v>
      </c>
      <c r="J15" t="str">
        <f>IF(I15&lt;= 35,"A1",IF(I15&lt;= 45,"A2","A3"))</f>
        <v>A1</v>
      </c>
      <c r="K15" s="2">
        <f t="shared" si="0"/>
        <v>2.0451807228915664</v>
      </c>
    </row>
    <row r="16" spans="1:11" x14ac:dyDescent="0.45">
      <c r="A16" s="2">
        <v>15</v>
      </c>
      <c r="B16" s="1">
        <v>45398</v>
      </c>
      <c r="C16" s="2" t="s">
        <v>15</v>
      </c>
      <c r="D16" s="2" t="s">
        <v>24</v>
      </c>
      <c r="E16" s="2" t="s">
        <v>10</v>
      </c>
      <c r="F16" s="2">
        <v>383</v>
      </c>
      <c r="G16" s="2">
        <v>39008</v>
      </c>
      <c r="H16" s="2" t="s">
        <v>28</v>
      </c>
      <c r="I16" s="2">
        <v>42</v>
      </c>
      <c r="J16" t="str">
        <f>IF(I16&lt;= 35,"A1",IF(I16&lt;= 45,"A2","A3"))</f>
        <v>A2</v>
      </c>
      <c r="K16" s="2">
        <f t="shared" si="0"/>
        <v>101.8485639686684</v>
      </c>
    </row>
    <row r="17" spans="1:11" x14ac:dyDescent="0.45">
      <c r="A17" s="2">
        <v>16</v>
      </c>
      <c r="B17" s="1">
        <v>45318</v>
      </c>
      <c r="C17" s="2" t="s">
        <v>15</v>
      </c>
      <c r="D17" s="2" t="s">
        <v>20</v>
      </c>
      <c r="E17" s="2" t="s">
        <v>14</v>
      </c>
      <c r="F17" s="2">
        <v>193</v>
      </c>
      <c r="G17" s="2">
        <v>18796</v>
      </c>
      <c r="H17" s="2" t="s">
        <v>18</v>
      </c>
      <c r="I17" s="2">
        <v>26</v>
      </c>
      <c r="J17" t="str">
        <f>IF(I17&lt;= 35,"A1",IF(I17&lt;= 45,"A2","A3"))</f>
        <v>A1</v>
      </c>
      <c r="K17" s="2">
        <f t="shared" si="0"/>
        <v>97.388601036269435</v>
      </c>
    </row>
    <row r="18" spans="1:11" x14ac:dyDescent="0.45">
      <c r="A18" s="2">
        <v>17</v>
      </c>
      <c r="B18" s="1">
        <v>45215</v>
      </c>
      <c r="C18" s="2" t="s">
        <v>12</v>
      </c>
      <c r="D18" s="2" t="s">
        <v>24</v>
      </c>
      <c r="E18" s="2" t="s">
        <v>17</v>
      </c>
      <c r="F18" s="2">
        <v>240</v>
      </c>
      <c r="G18" s="2">
        <v>65052</v>
      </c>
      <c r="H18" s="2" t="s">
        <v>11</v>
      </c>
      <c r="I18" s="2">
        <v>42</v>
      </c>
      <c r="J18" t="str">
        <f>IF(I18&lt;= 35,"A1",IF(I18&lt;= 45,"A2","A3"))</f>
        <v>A2</v>
      </c>
      <c r="K18" s="2">
        <f t="shared" si="0"/>
        <v>271.05</v>
      </c>
    </row>
    <row r="19" spans="1:11" x14ac:dyDescent="0.45">
      <c r="A19" s="2">
        <v>18</v>
      </c>
      <c r="B19" s="1">
        <v>45381</v>
      </c>
      <c r="C19" s="2" t="s">
        <v>12</v>
      </c>
      <c r="D19" s="2" t="s">
        <v>26</v>
      </c>
      <c r="E19" s="2" t="s">
        <v>10</v>
      </c>
      <c r="F19" s="2">
        <v>363</v>
      </c>
      <c r="G19" s="2">
        <v>38232</v>
      </c>
      <c r="H19" s="2" t="s">
        <v>11</v>
      </c>
      <c r="I19" s="2">
        <v>49</v>
      </c>
      <c r="J19" t="str">
        <f>IF(I19&lt;= 35,"A1",IF(I19&lt;= 45,"A2","A3"))</f>
        <v>A3</v>
      </c>
      <c r="K19" s="2">
        <f t="shared" si="0"/>
        <v>105.32231404958678</v>
      </c>
    </row>
    <row r="20" spans="1:11" x14ac:dyDescent="0.45">
      <c r="A20" s="2">
        <v>19</v>
      </c>
      <c r="B20" s="1">
        <v>45469</v>
      </c>
      <c r="C20" s="2" t="s">
        <v>12</v>
      </c>
      <c r="D20" s="2" t="s">
        <v>26</v>
      </c>
      <c r="E20" s="2" t="s">
        <v>10</v>
      </c>
      <c r="F20" s="2">
        <v>443</v>
      </c>
      <c r="G20" s="2">
        <v>50652</v>
      </c>
      <c r="H20" s="2" t="s">
        <v>18</v>
      </c>
      <c r="I20" s="2">
        <v>49</v>
      </c>
      <c r="J20" t="str">
        <f>IF(I20&lt;= 35,"A1",IF(I20&lt;= 45,"A2","A3"))</f>
        <v>A3</v>
      </c>
      <c r="K20" s="2">
        <f t="shared" si="0"/>
        <v>114.33860045146727</v>
      </c>
    </row>
    <row r="21" spans="1:11" x14ac:dyDescent="0.45">
      <c r="A21" s="2">
        <v>20</v>
      </c>
      <c r="B21" s="1">
        <v>45254</v>
      </c>
      <c r="C21" s="2" t="s">
        <v>12</v>
      </c>
      <c r="D21" s="2" t="s">
        <v>24</v>
      </c>
      <c r="E21" s="2" t="s">
        <v>23</v>
      </c>
      <c r="F21" s="2">
        <v>331</v>
      </c>
      <c r="G21" s="2">
        <v>27140</v>
      </c>
      <c r="H21" s="2" t="s">
        <v>18</v>
      </c>
      <c r="I21" s="2">
        <v>42</v>
      </c>
      <c r="J21" t="str">
        <f>IF(I21&lt;= 35,"A1",IF(I21&lt;= 45,"A2","A3"))</f>
        <v>A2</v>
      </c>
      <c r="K21" s="2">
        <f t="shared" si="0"/>
        <v>81.993957703927492</v>
      </c>
    </row>
    <row r="22" spans="1:11" x14ac:dyDescent="0.45">
      <c r="A22" s="2">
        <v>21</v>
      </c>
      <c r="B22" s="1">
        <v>45304</v>
      </c>
      <c r="C22" s="2" t="s">
        <v>8</v>
      </c>
      <c r="D22" s="2" t="s">
        <v>24</v>
      </c>
      <c r="E22" s="2" t="s">
        <v>17</v>
      </c>
      <c r="F22" s="2">
        <v>250</v>
      </c>
      <c r="G22" s="2">
        <v>11385</v>
      </c>
      <c r="H22" s="2" t="s">
        <v>18</v>
      </c>
      <c r="I22" s="2">
        <v>42</v>
      </c>
      <c r="J22" t="str">
        <f>IF(I22&lt;= 35,"A1",IF(I22&lt;= 45,"A2","A3"))</f>
        <v>A2</v>
      </c>
      <c r="K22" s="2">
        <f t="shared" si="0"/>
        <v>45.54</v>
      </c>
    </row>
    <row r="23" spans="1:11" x14ac:dyDescent="0.45">
      <c r="A23" s="2">
        <v>22</v>
      </c>
      <c r="B23" s="1">
        <v>45294</v>
      </c>
      <c r="C23" s="2" t="s">
        <v>12</v>
      </c>
      <c r="D23" s="2" t="s">
        <v>26</v>
      </c>
      <c r="E23" s="2" t="s">
        <v>17</v>
      </c>
      <c r="F23" s="2">
        <v>180</v>
      </c>
      <c r="G23" s="2">
        <v>33684</v>
      </c>
      <c r="H23" s="2" t="s">
        <v>11</v>
      </c>
      <c r="I23" s="2">
        <v>49</v>
      </c>
      <c r="J23" t="str">
        <f>IF(I23&lt;= 35,"A1",IF(I23&lt;= 45,"A2","A3"))</f>
        <v>A3</v>
      </c>
      <c r="K23" s="2">
        <f t="shared" si="0"/>
        <v>187.13333333333333</v>
      </c>
    </row>
    <row r="24" spans="1:11" x14ac:dyDescent="0.45">
      <c r="A24" s="2">
        <v>23</v>
      </c>
      <c r="B24" s="1">
        <v>45520</v>
      </c>
      <c r="C24" s="2" t="s">
        <v>15</v>
      </c>
      <c r="D24" s="2" t="s">
        <v>21</v>
      </c>
      <c r="E24" s="2" t="s">
        <v>10</v>
      </c>
      <c r="F24" s="2">
        <v>90</v>
      </c>
      <c r="G24" s="2">
        <v>42328</v>
      </c>
      <c r="H24" s="2" t="s">
        <v>11</v>
      </c>
      <c r="I24" s="2">
        <v>28</v>
      </c>
      <c r="J24" t="str">
        <f>IF(I24&lt;= 35,"A1",IF(I24&lt;= 45,"A2","A3"))</f>
        <v>A1</v>
      </c>
      <c r="K24" s="2">
        <f t="shared" si="0"/>
        <v>470.31111111111113</v>
      </c>
    </row>
    <row r="25" spans="1:11" x14ac:dyDescent="0.45">
      <c r="A25" s="2">
        <v>24</v>
      </c>
      <c r="B25" s="1">
        <v>45296</v>
      </c>
      <c r="C25" s="2" t="s">
        <v>8</v>
      </c>
      <c r="D25" s="2" t="s">
        <v>19</v>
      </c>
      <c r="E25" s="2" t="s">
        <v>17</v>
      </c>
      <c r="F25" s="2">
        <v>458</v>
      </c>
      <c r="G25" s="2">
        <v>42873</v>
      </c>
      <c r="H25" s="2" t="s">
        <v>11</v>
      </c>
      <c r="I25" s="2">
        <v>57</v>
      </c>
      <c r="J25" t="str">
        <f>IF(I25&lt;= 35,"A1",IF(I25&lt;= 45,"A2","A3"))</f>
        <v>A3</v>
      </c>
      <c r="K25" s="2">
        <f t="shared" si="0"/>
        <v>93.609170305676855</v>
      </c>
    </row>
    <row r="26" spans="1:11" x14ac:dyDescent="0.45">
      <c r="A26" s="2">
        <v>25</v>
      </c>
      <c r="B26" s="1">
        <v>45235</v>
      </c>
      <c r="C26" s="2" t="s">
        <v>12</v>
      </c>
      <c r="D26" s="2" t="s">
        <v>20</v>
      </c>
      <c r="E26" s="2" t="s">
        <v>10</v>
      </c>
      <c r="F26" s="2">
        <v>439</v>
      </c>
      <c r="G26" s="2">
        <v>31392</v>
      </c>
      <c r="H26" s="2" t="s">
        <v>18</v>
      </c>
      <c r="I26" s="2">
        <v>26</v>
      </c>
      <c r="J26" t="str">
        <f>IF(I26&lt;= 35,"A1",IF(I26&lt;= 45,"A2","A3"))</f>
        <v>A1</v>
      </c>
      <c r="K26" s="2">
        <f t="shared" si="0"/>
        <v>71.50797266514806</v>
      </c>
    </row>
    <row r="27" spans="1:11" x14ac:dyDescent="0.45">
      <c r="A27" s="2">
        <v>26</v>
      </c>
      <c r="B27" s="1">
        <v>45530</v>
      </c>
      <c r="C27" s="2" t="s">
        <v>12</v>
      </c>
      <c r="D27" s="2" t="s">
        <v>24</v>
      </c>
      <c r="E27" s="2" t="s">
        <v>10</v>
      </c>
      <c r="F27" s="2">
        <v>406</v>
      </c>
      <c r="G27" s="2">
        <v>47880</v>
      </c>
      <c r="H27" s="2" t="s">
        <v>18</v>
      </c>
      <c r="I27" s="2">
        <v>42</v>
      </c>
      <c r="J27" t="str">
        <f>IF(I27&lt;= 35,"A1",IF(I27&lt;= 45,"A2","A3"))</f>
        <v>A2</v>
      </c>
      <c r="K27" s="2">
        <f t="shared" si="0"/>
        <v>117.93103448275862</v>
      </c>
    </row>
    <row r="28" spans="1:11" x14ac:dyDescent="0.45">
      <c r="A28" s="2">
        <v>27</v>
      </c>
      <c r="B28" s="1">
        <v>45511</v>
      </c>
      <c r="C28" s="2" t="s">
        <v>12</v>
      </c>
      <c r="D28" s="2" t="s">
        <v>24</v>
      </c>
      <c r="E28" s="2" t="s">
        <v>23</v>
      </c>
      <c r="F28" s="2">
        <v>422</v>
      </c>
      <c r="G28" s="2">
        <v>13490</v>
      </c>
      <c r="H28" s="2" t="s">
        <v>11</v>
      </c>
      <c r="I28" s="2">
        <v>42</v>
      </c>
      <c r="J28" t="str">
        <f>IF(I28&lt;= 35,"A1",IF(I28&lt;= 45,"A2","A3"))</f>
        <v>A2</v>
      </c>
      <c r="K28" s="2">
        <f t="shared" si="0"/>
        <v>31.966824644549764</v>
      </c>
    </row>
    <row r="29" spans="1:11" x14ac:dyDescent="0.45">
      <c r="A29" s="2">
        <v>28</v>
      </c>
      <c r="B29" s="1">
        <v>45286</v>
      </c>
      <c r="C29" s="2" t="s">
        <v>12</v>
      </c>
      <c r="D29" s="2" t="s">
        <v>19</v>
      </c>
      <c r="E29" s="2" t="s">
        <v>10</v>
      </c>
      <c r="F29" s="2">
        <v>444</v>
      </c>
      <c r="G29" s="2">
        <v>7272</v>
      </c>
      <c r="H29" s="2" t="s">
        <v>18</v>
      </c>
      <c r="I29" s="2">
        <v>57</v>
      </c>
      <c r="J29" t="str">
        <f>IF(I29&lt;= 35,"A1",IF(I29&lt;= 45,"A2","A3"))</f>
        <v>A3</v>
      </c>
      <c r="K29" s="2">
        <f t="shared" si="0"/>
        <v>16.378378378378379</v>
      </c>
    </row>
    <row r="30" spans="1:11" x14ac:dyDescent="0.45">
      <c r="A30" s="2">
        <v>29</v>
      </c>
      <c r="B30" s="1">
        <v>45339</v>
      </c>
      <c r="C30" s="2" t="s">
        <v>12</v>
      </c>
      <c r="D30" s="2" t="s">
        <v>24</v>
      </c>
      <c r="E30" s="2" t="s">
        <v>23</v>
      </c>
      <c r="F30" s="2">
        <v>499</v>
      </c>
      <c r="G30" s="2">
        <v>48316</v>
      </c>
      <c r="H30" s="2" t="s">
        <v>11</v>
      </c>
      <c r="I30" s="2">
        <v>42</v>
      </c>
      <c r="J30" t="str">
        <f>IF(I30&lt;= 35,"A1",IF(I30&lt;= 45,"A2","A3"))</f>
        <v>A2</v>
      </c>
      <c r="K30" s="2">
        <f t="shared" si="0"/>
        <v>96.825651302605209</v>
      </c>
    </row>
    <row r="31" spans="1:11" x14ac:dyDescent="0.45">
      <c r="A31" s="2">
        <v>30</v>
      </c>
      <c r="B31" s="1">
        <v>45200</v>
      </c>
      <c r="C31" s="2" t="s">
        <v>12</v>
      </c>
      <c r="D31" s="2" t="s">
        <v>25</v>
      </c>
      <c r="E31" s="2" t="s">
        <v>10</v>
      </c>
      <c r="F31" s="2">
        <v>290</v>
      </c>
      <c r="G31" s="2">
        <v>15132</v>
      </c>
      <c r="H31" s="2" t="s">
        <v>28</v>
      </c>
      <c r="I31" s="2">
        <v>25</v>
      </c>
      <c r="J31" t="str">
        <f>IF(I31&lt;= 35,"A1",IF(I31&lt;= 45,"A2","A3"))</f>
        <v>A1</v>
      </c>
      <c r="K31" s="2">
        <f t="shared" si="0"/>
        <v>52.179310344827584</v>
      </c>
    </row>
    <row r="32" spans="1:11" x14ac:dyDescent="0.45">
      <c r="A32" s="2">
        <v>31</v>
      </c>
      <c r="B32" s="1">
        <v>45543</v>
      </c>
      <c r="C32" s="2" t="s">
        <v>15</v>
      </c>
      <c r="D32" s="2" t="s">
        <v>24</v>
      </c>
      <c r="E32" s="2" t="s">
        <v>23</v>
      </c>
      <c r="F32" s="2">
        <v>369</v>
      </c>
      <c r="G32" s="2">
        <v>5246</v>
      </c>
      <c r="H32" s="2" t="s">
        <v>18</v>
      </c>
      <c r="I32" s="2">
        <v>42</v>
      </c>
      <c r="J32" t="str">
        <f>IF(I32&lt;= 35,"A1",IF(I32&lt;= 45,"A2","A3"))</f>
        <v>A2</v>
      </c>
      <c r="K32" s="2">
        <f t="shared" si="0"/>
        <v>14.21680216802168</v>
      </c>
    </row>
    <row r="33" spans="1:11" x14ac:dyDescent="0.45">
      <c r="A33" s="2">
        <v>32</v>
      </c>
      <c r="B33" s="1">
        <v>45371</v>
      </c>
      <c r="C33" s="2" t="s">
        <v>27</v>
      </c>
      <c r="D33" s="2" t="s">
        <v>24</v>
      </c>
      <c r="E33" s="2" t="s">
        <v>10</v>
      </c>
      <c r="F33" s="2">
        <v>389</v>
      </c>
      <c r="G33" s="2">
        <v>37744</v>
      </c>
      <c r="H33" s="2" t="s">
        <v>18</v>
      </c>
      <c r="I33" s="2">
        <v>42</v>
      </c>
      <c r="J33" t="str">
        <f>IF(I33&lt;= 35,"A1",IF(I33&lt;= 45,"A2","A3"))</f>
        <v>A2</v>
      </c>
      <c r="K33" s="2">
        <f t="shared" si="0"/>
        <v>97.028277634961441</v>
      </c>
    </row>
    <row r="34" spans="1:11" x14ac:dyDescent="0.45">
      <c r="A34" s="2">
        <v>33</v>
      </c>
      <c r="B34" s="1">
        <v>45422</v>
      </c>
      <c r="C34" s="2" t="s">
        <v>27</v>
      </c>
      <c r="D34" s="2" t="s">
        <v>25</v>
      </c>
      <c r="E34" s="2" t="s">
        <v>23</v>
      </c>
      <c r="F34" s="2">
        <v>511</v>
      </c>
      <c r="G34" s="2">
        <v>679</v>
      </c>
      <c r="H34" s="2" t="s">
        <v>11</v>
      </c>
      <c r="I34" s="2">
        <v>25</v>
      </c>
      <c r="J34" t="str">
        <f>IF(I34&lt;= 35,"A1",IF(I34&lt;= 45,"A2","A3"))</f>
        <v>A1</v>
      </c>
      <c r="K34" s="2">
        <f t="shared" si="0"/>
        <v>1.3287671232876712</v>
      </c>
    </row>
    <row r="35" spans="1:11" x14ac:dyDescent="0.45">
      <c r="A35" s="2">
        <v>34</v>
      </c>
      <c r="B35" s="1">
        <v>45251</v>
      </c>
      <c r="C35" s="2" t="s">
        <v>12</v>
      </c>
      <c r="D35" s="2" t="s">
        <v>22</v>
      </c>
      <c r="E35" s="2" t="s">
        <v>17</v>
      </c>
      <c r="F35" s="2">
        <v>333</v>
      </c>
      <c r="G35" s="2">
        <v>48000</v>
      </c>
      <c r="H35" s="2" t="s">
        <v>11</v>
      </c>
      <c r="I35" s="2">
        <v>28</v>
      </c>
      <c r="J35" t="str">
        <f>IF(I35&lt;= 35,"A1",IF(I35&lt;= 45,"A2","A3"))</f>
        <v>A1</v>
      </c>
      <c r="K35" s="2">
        <f t="shared" si="0"/>
        <v>144.14414414414415</v>
      </c>
    </row>
    <row r="36" spans="1:11" x14ac:dyDescent="0.45">
      <c r="A36" s="2">
        <v>35</v>
      </c>
      <c r="B36" s="1">
        <v>45214</v>
      </c>
      <c r="C36" s="2" t="s">
        <v>12</v>
      </c>
      <c r="D36" s="2" t="s">
        <v>13</v>
      </c>
      <c r="E36" s="2" t="s">
        <v>17</v>
      </c>
      <c r="F36" s="2">
        <v>260</v>
      </c>
      <c r="G36" s="2">
        <v>34680</v>
      </c>
      <c r="H36" s="2" t="s">
        <v>18</v>
      </c>
      <c r="I36" s="2">
        <v>52</v>
      </c>
      <c r="J36" t="str">
        <f>IF(I36&lt;= 35,"A1",IF(I36&lt;= 45,"A2","A3"))</f>
        <v>A3</v>
      </c>
      <c r="K36" s="2">
        <f t="shared" si="0"/>
        <v>133.38461538461539</v>
      </c>
    </row>
    <row r="37" spans="1:11" x14ac:dyDescent="0.45">
      <c r="A37" s="2">
        <v>36</v>
      </c>
      <c r="B37" s="1">
        <v>45230</v>
      </c>
      <c r="C37" s="2" t="s">
        <v>12</v>
      </c>
      <c r="D37" s="2" t="s">
        <v>20</v>
      </c>
      <c r="E37" s="2" t="s">
        <v>17</v>
      </c>
      <c r="F37" s="2">
        <v>460</v>
      </c>
      <c r="G37" s="2">
        <v>50274</v>
      </c>
      <c r="H37" s="2" t="s">
        <v>18</v>
      </c>
      <c r="I37" s="2">
        <v>26</v>
      </c>
      <c r="J37" t="str">
        <f>IF(I37&lt;= 35,"A1",IF(I37&lt;= 45,"A2","A3"))</f>
        <v>A1</v>
      </c>
      <c r="K37" s="2">
        <f t="shared" si="0"/>
        <v>109.29130434782608</v>
      </c>
    </row>
    <row r="38" spans="1:11" x14ac:dyDescent="0.45">
      <c r="A38" s="2">
        <v>37</v>
      </c>
      <c r="B38" s="1">
        <v>45377</v>
      </c>
      <c r="C38" s="2" t="s">
        <v>15</v>
      </c>
      <c r="D38" s="2" t="s">
        <v>26</v>
      </c>
      <c r="E38" s="2" t="s">
        <v>10</v>
      </c>
      <c r="F38" s="2">
        <v>145</v>
      </c>
      <c r="G38" s="2">
        <v>43615</v>
      </c>
      <c r="H38" s="2" t="s">
        <v>18</v>
      </c>
      <c r="I38" s="2">
        <v>49</v>
      </c>
      <c r="J38" t="str">
        <f>IF(I38&lt;= 35,"A1",IF(I38&lt;= 45,"A2","A3"))</f>
        <v>A3</v>
      </c>
      <c r="K38" s="2">
        <f t="shared" si="0"/>
        <v>300.79310344827587</v>
      </c>
    </row>
    <row r="39" spans="1:11" x14ac:dyDescent="0.45">
      <c r="A39" s="2">
        <v>38</v>
      </c>
      <c r="B39" s="1">
        <v>45467</v>
      </c>
      <c r="C39" s="2" t="s">
        <v>12</v>
      </c>
      <c r="D39" s="2" t="s">
        <v>24</v>
      </c>
      <c r="E39" s="2" t="s">
        <v>23</v>
      </c>
      <c r="F39" s="2">
        <v>115</v>
      </c>
      <c r="G39" s="2">
        <v>14076</v>
      </c>
      <c r="H39" s="2" t="s">
        <v>11</v>
      </c>
      <c r="I39" s="2">
        <v>42</v>
      </c>
      <c r="J39" t="str">
        <f>IF(I39&lt;= 35,"A1",IF(I39&lt;= 45,"A2","A3"))</f>
        <v>A2</v>
      </c>
      <c r="K39" s="2">
        <f t="shared" si="0"/>
        <v>122.4</v>
      </c>
    </row>
    <row r="40" spans="1:11" x14ac:dyDescent="0.45">
      <c r="A40" s="2">
        <v>39</v>
      </c>
      <c r="B40" s="1">
        <v>45489</v>
      </c>
      <c r="C40" s="2" t="s">
        <v>15</v>
      </c>
      <c r="D40" s="2" t="s">
        <v>16</v>
      </c>
      <c r="E40" s="2" t="s">
        <v>10</v>
      </c>
      <c r="F40" s="2">
        <v>248</v>
      </c>
      <c r="G40" s="2">
        <v>12870</v>
      </c>
      <c r="H40" s="2" t="s">
        <v>11</v>
      </c>
      <c r="I40" s="2">
        <v>36</v>
      </c>
      <c r="J40" t="str">
        <f>IF(I40&lt;= 35,"A1",IF(I40&lt;= 45,"A2","A3"))</f>
        <v>A2</v>
      </c>
      <c r="K40" s="2">
        <f t="shared" si="0"/>
        <v>51.895161290322584</v>
      </c>
    </row>
    <row r="41" spans="1:11" x14ac:dyDescent="0.45">
      <c r="A41" s="2">
        <v>40</v>
      </c>
      <c r="B41" s="1">
        <v>45221</v>
      </c>
      <c r="C41" s="2" t="s">
        <v>27</v>
      </c>
      <c r="D41" s="2" t="s">
        <v>13</v>
      </c>
      <c r="E41" s="2" t="s">
        <v>10</v>
      </c>
      <c r="F41" s="2">
        <v>165</v>
      </c>
      <c r="G41" s="2">
        <v>679</v>
      </c>
      <c r="H41" s="2" t="s">
        <v>18</v>
      </c>
      <c r="I41" s="2">
        <v>52</v>
      </c>
      <c r="J41" t="str">
        <f>IF(I41&lt;= 35,"A1",IF(I41&lt;= 45,"A2","A3"))</f>
        <v>A3</v>
      </c>
      <c r="K41" s="2">
        <f t="shared" si="0"/>
        <v>4.1151515151515152</v>
      </c>
    </row>
    <row r="42" spans="1:11" x14ac:dyDescent="0.45">
      <c r="A42" s="2">
        <v>41</v>
      </c>
      <c r="B42" s="1">
        <v>45407</v>
      </c>
      <c r="C42" s="2" t="s">
        <v>12</v>
      </c>
      <c r="D42" s="2" t="s">
        <v>24</v>
      </c>
      <c r="E42" s="2" t="s">
        <v>14</v>
      </c>
      <c r="F42" s="2">
        <v>51</v>
      </c>
      <c r="G42" s="2">
        <v>35280</v>
      </c>
      <c r="H42" s="2" t="s">
        <v>18</v>
      </c>
      <c r="I42" s="2">
        <v>42</v>
      </c>
      <c r="J42" t="str">
        <f>IF(I42&lt;= 35,"A1",IF(I42&lt;= 45,"A2","A3"))</f>
        <v>A2</v>
      </c>
      <c r="K42" s="2">
        <f t="shared" si="0"/>
        <v>691.76470588235293</v>
      </c>
    </row>
    <row r="43" spans="1:11" x14ac:dyDescent="0.45">
      <c r="A43" s="2">
        <v>42</v>
      </c>
      <c r="B43" s="1">
        <v>45424</v>
      </c>
      <c r="C43" s="2" t="s">
        <v>15</v>
      </c>
      <c r="D43" s="2" t="s">
        <v>24</v>
      </c>
      <c r="E43" s="2" t="s">
        <v>10</v>
      </c>
      <c r="F43" s="2">
        <v>382</v>
      </c>
      <c r="G43" s="2">
        <v>37490</v>
      </c>
      <c r="H43" s="2" t="s">
        <v>18</v>
      </c>
      <c r="I43" s="2">
        <v>42</v>
      </c>
      <c r="J43" t="str">
        <f>IF(I43&lt;= 35,"A1",IF(I43&lt;= 45,"A2","A3"))</f>
        <v>A2</v>
      </c>
      <c r="K43" s="2">
        <f t="shared" si="0"/>
        <v>98.141361256544499</v>
      </c>
    </row>
    <row r="44" spans="1:11" x14ac:dyDescent="0.45">
      <c r="A44" s="2">
        <v>43</v>
      </c>
      <c r="B44" s="1">
        <v>45252</v>
      </c>
      <c r="C44" s="2" t="s">
        <v>15</v>
      </c>
      <c r="D44" s="2" t="s">
        <v>24</v>
      </c>
      <c r="E44" s="2" t="s">
        <v>10</v>
      </c>
      <c r="F44" s="2">
        <v>354</v>
      </c>
      <c r="G44" s="2">
        <v>679</v>
      </c>
      <c r="H44" s="2" t="s">
        <v>18</v>
      </c>
      <c r="I44" s="2">
        <v>42</v>
      </c>
      <c r="J44" t="str">
        <f>IF(I44&lt;= 35,"A1",IF(I44&lt;= 45,"A2","A3"))</f>
        <v>A2</v>
      </c>
      <c r="K44" s="2">
        <f t="shared" si="0"/>
        <v>1.9180790960451977</v>
      </c>
    </row>
    <row r="45" spans="1:11" x14ac:dyDescent="0.45">
      <c r="A45" s="2">
        <v>44</v>
      </c>
      <c r="B45" s="1">
        <v>45451</v>
      </c>
      <c r="C45" s="2" t="s">
        <v>27</v>
      </c>
      <c r="D45" s="2" t="s">
        <v>13</v>
      </c>
      <c r="E45" s="2" t="s">
        <v>14</v>
      </c>
      <c r="F45" s="2">
        <v>368</v>
      </c>
      <c r="G45" s="2">
        <v>46068</v>
      </c>
      <c r="H45" s="2" t="s">
        <v>11</v>
      </c>
      <c r="I45" s="2">
        <v>52</v>
      </c>
      <c r="J45" t="str">
        <f>IF(I45&lt;= 35,"A1",IF(I45&lt;= 45,"A2","A3"))</f>
        <v>A3</v>
      </c>
      <c r="K45" s="2">
        <f t="shared" si="0"/>
        <v>125.18478260869566</v>
      </c>
    </row>
    <row r="46" spans="1:11" x14ac:dyDescent="0.45">
      <c r="A46" s="2">
        <v>45</v>
      </c>
      <c r="B46" s="1">
        <v>45458</v>
      </c>
      <c r="C46" s="2" t="s">
        <v>12</v>
      </c>
      <c r="D46" s="2" t="s">
        <v>16</v>
      </c>
      <c r="E46" s="2" t="s">
        <v>23</v>
      </c>
      <c r="F46" s="2">
        <v>79</v>
      </c>
      <c r="G46" s="2">
        <v>11078</v>
      </c>
      <c r="H46" s="2" t="s">
        <v>11</v>
      </c>
      <c r="I46" s="2">
        <v>36</v>
      </c>
      <c r="J46" t="str">
        <f>IF(I46&lt;= 35,"A1",IF(I46&lt;= 45,"A2","A3"))</f>
        <v>A2</v>
      </c>
      <c r="K46" s="2">
        <f t="shared" si="0"/>
        <v>140.22784810126583</v>
      </c>
    </row>
    <row r="47" spans="1:11" x14ac:dyDescent="0.45">
      <c r="A47" s="2">
        <v>46</v>
      </c>
      <c r="B47" s="1">
        <v>45207</v>
      </c>
      <c r="C47" s="2" t="s">
        <v>12</v>
      </c>
      <c r="D47" s="2" t="s">
        <v>21</v>
      </c>
      <c r="E47" s="2" t="s">
        <v>10</v>
      </c>
      <c r="F47" s="2">
        <v>231</v>
      </c>
      <c r="G47" s="2">
        <v>32045</v>
      </c>
      <c r="H47" s="2" t="s">
        <v>11</v>
      </c>
      <c r="I47" s="2">
        <v>28</v>
      </c>
      <c r="J47" t="str">
        <f>IF(I47&lt;= 35,"A1",IF(I47&lt;= 45,"A2","A3"))</f>
        <v>A1</v>
      </c>
      <c r="K47" s="2">
        <f t="shared" si="0"/>
        <v>138.72294372294371</v>
      </c>
    </row>
    <row r="48" spans="1:11" x14ac:dyDescent="0.45">
      <c r="A48" s="2">
        <v>47</v>
      </c>
      <c r="B48" s="1">
        <v>45228</v>
      </c>
      <c r="C48" s="2" t="s">
        <v>27</v>
      </c>
      <c r="D48" s="2" t="s">
        <v>19</v>
      </c>
      <c r="E48" s="2" t="s">
        <v>10</v>
      </c>
      <c r="F48" s="2">
        <v>288</v>
      </c>
      <c r="G48" s="2">
        <v>33284</v>
      </c>
      <c r="H48" s="2" t="s">
        <v>11</v>
      </c>
      <c r="I48" s="2">
        <v>57</v>
      </c>
      <c r="J48" t="str">
        <f>IF(I48&lt;= 35,"A1",IF(I48&lt;= 45,"A2","A3"))</f>
        <v>A3</v>
      </c>
      <c r="K48" s="2">
        <f t="shared" si="0"/>
        <v>115.56944444444444</v>
      </c>
    </row>
    <row r="49" spans="1:11" x14ac:dyDescent="0.45">
      <c r="A49" s="2">
        <v>48</v>
      </c>
      <c r="B49" s="1">
        <v>45191</v>
      </c>
      <c r="C49" s="2" t="s">
        <v>15</v>
      </c>
      <c r="D49" s="2" t="s">
        <v>20</v>
      </c>
      <c r="E49" s="2" t="s">
        <v>23</v>
      </c>
      <c r="F49" s="2">
        <v>214</v>
      </c>
      <c r="G49" s="2">
        <v>11954</v>
      </c>
      <c r="H49" s="2" t="s">
        <v>11</v>
      </c>
      <c r="I49" s="2">
        <v>26</v>
      </c>
      <c r="J49" t="str">
        <f>IF(I49&lt;= 35,"A1",IF(I49&lt;= 45,"A2","A3"))</f>
        <v>A1</v>
      </c>
      <c r="K49" s="2">
        <f t="shared" si="0"/>
        <v>55.859813084112147</v>
      </c>
    </row>
    <row r="50" spans="1:11" x14ac:dyDescent="0.45">
      <c r="A50" s="2">
        <v>49</v>
      </c>
      <c r="B50" s="1">
        <v>45350</v>
      </c>
      <c r="C50" s="2" t="s">
        <v>8</v>
      </c>
      <c r="D50" s="2" t="s">
        <v>20</v>
      </c>
      <c r="E50" s="2" t="s">
        <v>17</v>
      </c>
      <c r="F50" s="2">
        <v>74</v>
      </c>
      <c r="G50" s="2">
        <v>36708</v>
      </c>
      <c r="H50" s="2" t="s">
        <v>18</v>
      </c>
      <c r="I50" s="2">
        <v>26</v>
      </c>
      <c r="J50" t="str">
        <f>IF(I50&lt;= 35,"A1",IF(I50&lt;= 45,"A2","A3"))</f>
        <v>A1</v>
      </c>
      <c r="K50" s="2">
        <f t="shared" si="0"/>
        <v>496.05405405405406</v>
      </c>
    </row>
    <row r="51" spans="1:11" x14ac:dyDescent="0.45">
      <c r="A51" s="2">
        <v>50</v>
      </c>
      <c r="B51" s="1">
        <v>45234</v>
      </c>
      <c r="C51" s="2" t="s">
        <v>15</v>
      </c>
      <c r="D51" s="2" t="s">
        <v>9</v>
      </c>
      <c r="E51" s="2" t="s">
        <v>14</v>
      </c>
      <c r="F51" s="2">
        <v>177</v>
      </c>
      <c r="G51" s="2">
        <v>30600</v>
      </c>
      <c r="H51" s="2" t="s">
        <v>18</v>
      </c>
      <c r="I51" s="2">
        <v>25</v>
      </c>
      <c r="J51" t="str">
        <f>IF(I51&lt;= 35,"A1",IF(I51&lt;= 45,"A2","A3"))</f>
        <v>A1</v>
      </c>
      <c r="K51" s="2">
        <f t="shared" si="0"/>
        <v>172.88135593220338</v>
      </c>
    </row>
    <row r="52" spans="1:11" x14ac:dyDescent="0.45">
      <c r="A52" s="2">
        <v>51</v>
      </c>
      <c r="B52" s="1">
        <v>45364</v>
      </c>
      <c r="C52" s="2" t="s">
        <v>8</v>
      </c>
      <c r="D52" s="2" t="s">
        <v>19</v>
      </c>
      <c r="E52" s="2" t="s">
        <v>17</v>
      </c>
      <c r="F52" s="2">
        <v>358</v>
      </c>
      <c r="G52" s="2">
        <v>13568</v>
      </c>
      <c r="H52" s="2" t="s">
        <v>11</v>
      </c>
      <c r="I52" s="2">
        <v>57</v>
      </c>
      <c r="J52" t="str">
        <f>IF(I52&lt;= 35,"A1",IF(I52&lt;= 45,"A2","A3"))</f>
        <v>A3</v>
      </c>
      <c r="K52" s="2">
        <f t="shared" si="0"/>
        <v>37.899441340782126</v>
      </c>
    </row>
    <row r="53" spans="1:11" x14ac:dyDescent="0.45">
      <c r="A53" s="2">
        <v>52</v>
      </c>
      <c r="B53" s="1">
        <v>45350</v>
      </c>
      <c r="C53" s="2" t="s">
        <v>8</v>
      </c>
      <c r="D53" s="2" t="s">
        <v>24</v>
      </c>
      <c r="E53" s="2" t="s">
        <v>17</v>
      </c>
      <c r="F53" s="2">
        <v>343</v>
      </c>
      <c r="G53" s="2">
        <v>33344</v>
      </c>
      <c r="H53" s="2" t="s">
        <v>18</v>
      </c>
      <c r="I53" s="2">
        <v>42</v>
      </c>
      <c r="J53" t="str">
        <f>IF(I53&lt;= 35,"A1",IF(I53&lt;= 45,"A2","A3"))</f>
        <v>A2</v>
      </c>
      <c r="K53" s="2">
        <f t="shared" si="0"/>
        <v>97.212827988338191</v>
      </c>
    </row>
    <row r="54" spans="1:11" x14ac:dyDescent="0.45">
      <c r="A54" s="2">
        <v>53</v>
      </c>
      <c r="B54" s="1">
        <v>45216</v>
      </c>
      <c r="C54" s="2" t="s">
        <v>27</v>
      </c>
      <c r="D54" s="2" t="s">
        <v>24</v>
      </c>
      <c r="E54" s="2" t="s">
        <v>17</v>
      </c>
      <c r="F54" s="2">
        <v>63</v>
      </c>
      <c r="G54" s="2">
        <v>3960</v>
      </c>
      <c r="H54" s="2" t="s">
        <v>18</v>
      </c>
      <c r="I54" s="2">
        <v>42</v>
      </c>
      <c r="J54" t="str">
        <f>IF(I54&lt;= 35,"A1",IF(I54&lt;= 45,"A2","A3"))</f>
        <v>A2</v>
      </c>
      <c r="K54" s="2">
        <f t="shared" si="0"/>
        <v>62.857142857142854</v>
      </c>
    </row>
    <row r="55" spans="1:11" x14ac:dyDescent="0.45">
      <c r="A55" s="2">
        <v>54</v>
      </c>
      <c r="B55" s="1">
        <v>45510</v>
      </c>
      <c r="C55" s="2" t="s">
        <v>12</v>
      </c>
      <c r="D55" s="2" t="s">
        <v>22</v>
      </c>
      <c r="E55" s="2" t="s">
        <v>10</v>
      </c>
      <c r="F55" s="2">
        <v>429</v>
      </c>
      <c r="G55" s="2">
        <v>58208</v>
      </c>
      <c r="H55" s="2" t="s">
        <v>18</v>
      </c>
      <c r="I55" s="2">
        <v>28</v>
      </c>
      <c r="J55" t="str">
        <f>IF(I55&lt;= 35,"A1",IF(I55&lt;= 45,"A2","A3"))</f>
        <v>A1</v>
      </c>
      <c r="K55" s="2">
        <f t="shared" si="0"/>
        <v>135.68298368298369</v>
      </c>
    </row>
    <row r="56" spans="1:11" x14ac:dyDescent="0.45">
      <c r="A56" s="2">
        <v>55</v>
      </c>
      <c r="B56" s="1">
        <v>45549</v>
      </c>
      <c r="C56" s="2" t="s">
        <v>8</v>
      </c>
      <c r="D56" s="2" t="s">
        <v>24</v>
      </c>
      <c r="E56" s="2" t="s">
        <v>14</v>
      </c>
      <c r="F56" s="2">
        <v>491</v>
      </c>
      <c r="G56" s="2">
        <v>59458</v>
      </c>
      <c r="H56" s="2" t="s">
        <v>18</v>
      </c>
      <c r="I56" s="2">
        <v>42</v>
      </c>
      <c r="J56" t="str">
        <f>IF(I56&lt;= 35,"A1",IF(I56&lt;= 45,"A2","A3"))</f>
        <v>A2</v>
      </c>
      <c r="K56" s="2">
        <f t="shared" si="0"/>
        <v>121.09572301425662</v>
      </c>
    </row>
    <row r="57" spans="1:11" x14ac:dyDescent="0.45">
      <c r="A57" s="2">
        <v>56</v>
      </c>
      <c r="B57" s="1">
        <v>45193</v>
      </c>
      <c r="C57" s="2" t="s">
        <v>12</v>
      </c>
      <c r="D57" s="2" t="s">
        <v>24</v>
      </c>
      <c r="E57" s="2" t="s">
        <v>10</v>
      </c>
      <c r="F57" s="2">
        <v>344</v>
      </c>
      <c r="G57" s="2">
        <v>13872</v>
      </c>
      <c r="H57" s="2" t="s">
        <v>11</v>
      </c>
      <c r="I57" s="2">
        <v>42</v>
      </c>
      <c r="J57" t="str">
        <f>IF(I57&lt;= 35,"A1",IF(I57&lt;= 45,"A2","A3"))</f>
        <v>A2</v>
      </c>
      <c r="K57" s="2">
        <f t="shared" si="0"/>
        <v>40.325581395348834</v>
      </c>
    </row>
    <row r="58" spans="1:11" x14ac:dyDescent="0.45">
      <c r="A58" s="2">
        <v>57</v>
      </c>
      <c r="B58" s="1">
        <v>45296</v>
      </c>
      <c r="C58" s="2" t="s">
        <v>12</v>
      </c>
      <c r="D58" s="2" t="s">
        <v>9</v>
      </c>
      <c r="E58" s="2" t="s">
        <v>14</v>
      </c>
      <c r="F58" s="2">
        <v>255</v>
      </c>
      <c r="G58" s="2">
        <v>57706</v>
      </c>
      <c r="H58" s="2" t="s">
        <v>11</v>
      </c>
      <c r="I58" s="2">
        <v>25</v>
      </c>
      <c r="J58" t="str">
        <f>IF(I58&lt;= 35,"A1",IF(I58&lt;= 45,"A2","A3"))</f>
        <v>A1</v>
      </c>
      <c r="K58" s="2">
        <f t="shared" si="0"/>
        <v>226.29803921568629</v>
      </c>
    </row>
    <row r="59" spans="1:11" x14ac:dyDescent="0.45">
      <c r="A59" s="2">
        <v>58</v>
      </c>
      <c r="B59" s="1">
        <v>45292</v>
      </c>
      <c r="C59" s="2" t="s">
        <v>8</v>
      </c>
      <c r="D59" s="2" t="s">
        <v>24</v>
      </c>
      <c r="E59" s="2" t="s">
        <v>10</v>
      </c>
      <c r="F59" s="2">
        <v>160</v>
      </c>
      <c r="G59" s="2">
        <v>59248</v>
      </c>
      <c r="H59" s="2" t="s">
        <v>11</v>
      </c>
      <c r="I59" s="2">
        <v>42</v>
      </c>
      <c r="J59" t="str">
        <f>IF(I59&lt;= 35,"A1",IF(I59&lt;= 45,"A2","A3"))</f>
        <v>A2</v>
      </c>
      <c r="K59" s="2">
        <f t="shared" si="0"/>
        <v>370.3</v>
      </c>
    </row>
    <row r="60" spans="1:11" x14ac:dyDescent="0.45">
      <c r="A60" s="2">
        <v>59</v>
      </c>
      <c r="B60" s="1">
        <v>45453</v>
      </c>
      <c r="C60" s="2" t="s">
        <v>15</v>
      </c>
      <c r="D60" s="2" t="s">
        <v>9</v>
      </c>
      <c r="E60" s="2" t="s">
        <v>23</v>
      </c>
      <c r="F60" s="2">
        <v>322</v>
      </c>
      <c r="G60" s="2">
        <v>29440</v>
      </c>
      <c r="H60" s="2" t="s">
        <v>18</v>
      </c>
      <c r="I60" s="2">
        <v>25</v>
      </c>
      <c r="J60" t="str">
        <f>IF(I60&lt;= 35,"A1",IF(I60&lt;= 45,"A2","A3"))</f>
        <v>A1</v>
      </c>
      <c r="K60" s="2">
        <f t="shared" si="0"/>
        <v>91.428571428571431</v>
      </c>
    </row>
    <row r="61" spans="1:11" x14ac:dyDescent="0.45">
      <c r="A61" s="2">
        <v>60</v>
      </c>
      <c r="B61" s="1">
        <v>45372</v>
      </c>
      <c r="C61" s="2" t="s">
        <v>15</v>
      </c>
      <c r="D61" s="2" t="s">
        <v>9</v>
      </c>
      <c r="E61" s="2" t="s">
        <v>17</v>
      </c>
      <c r="F61" s="2">
        <v>178</v>
      </c>
      <c r="G61" s="2">
        <v>679</v>
      </c>
      <c r="H61" s="2" t="s">
        <v>18</v>
      </c>
      <c r="I61" s="2">
        <v>25</v>
      </c>
      <c r="J61" t="str">
        <f>IF(I61&lt;= 35,"A1",IF(I61&lt;= 45,"A2","A3"))</f>
        <v>A1</v>
      </c>
      <c r="K61" s="2">
        <f t="shared" si="0"/>
        <v>3.8146067415730336</v>
      </c>
    </row>
    <row r="62" spans="1:11" x14ac:dyDescent="0.45">
      <c r="A62" s="2">
        <v>61</v>
      </c>
      <c r="B62" s="1">
        <v>45286</v>
      </c>
      <c r="C62" s="2" t="s">
        <v>12</v>
      </c>
      <c r="D62" s="2" t="s">
        <v>13</v>
      </c>
      <c r="E62" s="2" t="s">
        <v>10</v>
      </c>
      <c r="F62" s="2">
        <v>151</v>
      </c>
      <c r="G62" s="2">
        <v>8475</v>
      </c>
      <c r="H62" s="2" t="s">
        <v>11</v>
      </c>
      <c r="I62" s="2">
        <v>52</v>
      </c>
      <c r="J62" t="str">
        <f>IF(I62&lt;= 35,"A1",IF(I62&lt;= 45,"A2","A3"))</f>
        <v>A3</v>
      </c>
      <c r="K62" s="2">
        <f t="shared" si="0"/>
        <v>56.12582781456954</v>
      </c>
    </row>
    <row r="63" spans="1:11" x14ac:dyDescent="0.45">
      <c r="A63" s="2">
        <v>62</v>
      </c>
      <c r="B63" s="1">
        <v>45350</v>
      </c>
      <c r="C63" s="2" t="s">
        <v>12</v>
      </c>
      <c r="D63" s="2" t="s">
        <v>19</v>
      </c>
      <c r="E63" s="2" t="s">
        <v>17</v>
      </c>
      <c r="F63" s="2">
        <v>535</v>
      </c>
      <c r="G63" s="2">
        <v>44330</v>
      </c>
      <c r="H63" s="2" t="s">
        <v>18</v>
      </c>
      <c r="I63" s="2">
        <v>57</v>
      </c>
      <c r="J63" t="str">
        <f>IF(I63&lt;= 35,"A1",IF(I63&lt;= 45,"A2","A3"))</f>
        <v>A3</v>
      </c>
      <c r="K63" s="2">
        <f t="shared" si="0"/>
        <v>82.859813084112147</v>
      </c>
    </row>
    <row r="64" spans="1:11" x14ac:dyDescent="0.45">
      <c r="A64" s="2">
        <v>63</v>
      </c>
      <c r="B64" s="1">
        <v>45510</v>
      </c>
      <c r="C64" s="2" t="s">
        <v>27</v>
      </c>
      <c r="D64" s="2" t="s">
        <v>9</v>
      </c>
      <c r="E64" s="2" t="s">
        <v>10</v>
      </c>
      <c r="F64" s="2">
        <v>305</v>
      </c>
      <c r="G64" s="2">
        <v>3186</v>
      </c>
      <c r="H64" s="2" t="s">
        <v>11</v>
      </c>
      <c r="I64" s="2">
        <v>25</v>
      </c>
      <c r="J64" t="str">
        <f>IF(I64&lt;= 35,"A1",IF(I64&lt;= 45,"A2","A3"))</f>
        <v>A1</v>
      </c>
      <c r="K64" s="2">
        <f t="shared" si="0"/>
        <v>10.445901639344262</v>
      </c>
    </row>
    <row r="65" spans="1:11" x14ac:dyDescent="0.45">
      <c r="A65" s="2">
        <v>64</v>
      </c>
      <c r="B65" s="1">
        <v>45432</v>
      </c>
      <c r="C65" s="2" t="s">
        <v>12</v>
      </c>
      <c r="D65" s="2" t="s">
        <v>9</v>
      </c>
      <c r="E65" s="2" t="s">
        <v>23</v>
      </c>
      <c r="F65" s="2">
        <v>188</v>
      </c>
      <c r="G65" s="2">
        <v>679</v>
      </c>
      <c r="H65" s="2" t="s">
        <v>11</v>
      </c>
      <c r="I65" s="2">
        <v>25</v>
      </c>
      <c r="J65" t="str">
        <f>IF(I65&lt;= 35,"A1",IF(I65&lt;= 45,"A2","A3"))</f>
        <v>A1</v>
      </c>
      <c r="K65" s="2">
        <f t="shared" si="0"/>
        <v>3.6117021276595747</v>
      </c>
    </row>
    <row r="66" spans="1:11" x14ac:dyDescent="0.45">
      <c r="A66" s="2">
        <v>65</v>
      </c>
      <c r="B66" s="1">
        <v>45378</v>
      </c>
      <c r="C66" s="2" t="s">
        <v>27</v>
      </c>
      <c r="D66" s="2" t="s">
        <v>24</v>
      </c>
      <c r="E66" s="2" t="s">
        <v>10</v>
      </c>
      <c r="F66" s="2">
        <v>495</v>
      </c>
      <c r="G66" s="2">
        <v>679</v>
      </c>
      <c r="H66" s="2" t="s">
        <v>18</v>
      </c>
      <c r="I66" s="2">
        <v>42</v>
      </c>
      <c r="J66" t="str">
        <f>IF(I66&lt;= 35,"A1",IF(I66&lt;= 45,"A2","A3"))</f>
        <v>A2</v>
      </c>
      <c r="K66" s="2">
        <f t="shared" si="0"/>
        <v>1.3717171717171717</v>
      </c>
    </row>
    <row r="67" spans="1:11" x14ac:dyDescent="0.45">
      <c r="A67" s="2">
        <v>66</v>
      </c>
      <c r="B67" s="1">
        <v>45390</v>
      </c>
      <c r="C67" s="2" t="s">
        <v>12</v>
      </c>
      <c r="D67" s="2" t="s">
        <v>21</v>
      </c>
      <c r="E67" s="2" t="s">
        <v>23</v>
      </c>
      <c r="F67" s="2">
        <v>190</v>
      </c>
      <c r="G67" s="2">
        <v>28050</v>
      </c>
      <c r="H67" s="2" t="s">
        <v>11</v>
      </c>
      <c r="I67" s="2">
        <v>28</v>
      </c>
      <c r="J67" t="str">
        <f>IF(I67&lt;= 35,"A1",IF(I67&lt;= 45,"A2","A3"))</f>
        <v>A1</v>
      </c>
      <c r="K67" s="2">
        <f t="shared" ref="K67:K121" si="1">G67/F67</f>
        <v>147.63157894736841</v>
      </c>
    </row>
    <row r="68" spans="1:11" x14ac:dyDescent="0.45">
      <c r="A68" s="2">
        <v>67</v>
      </c>
      <c r="B68" s="1">
        <v>45249</v>
      </c>
      <c r="C68" s="2" t="s">
        <v>12</v>
      </c>
      <c r="D68" s="2" t="s">
        <v>20</v>
      </c>
      <c r="E68" s="2" t="s">
        <v>10</v>
      </c>
      <c r="F68" s="2">
        <v>511</v>
      </c>
      <c r="G68" s="2">
        <v>16698</v>
      </c>
      <c r="H68" s="2" t="s">
        <v>28</v>
      </c>
      <c r="I68" s="2">
        <v>26</v>
      </c>
      <c r="J68" t="str">
        <f>IF(I68&lt;= 35,"A1",IF(I68&lt;= 45,"A2","A3"))</f>
        <v>A1</v>
      </c>
      <c r="K68" s="2">
        <f t="shared" si="1"/>
        <v>32.677103718199611</v>
      </c>
    </row>
    <row r="69" spans="1:11" x14ac:dyDescent="0.45">
      <c r="A69" s="2">
        <v>68</v>
      </c>
      <c r="B69" s="1">
        <v>45350</v>
      </c>
      <c r="C69" s="2" t="s">
        <v>8</v>
      </c>
      <c r="D69" s="2" t="s">
        <v>26</v>
      </c>
      <c r="E69" s="2" t="s">
        <v>10</v>
      </c>
      <c r="F69" s="2">
        <v>308</v>
      </c>
      <c r="G69" s="2">
        <v>27956</v>
      </c>
      <c r="H69" s="2" t="s">
        <v>28</v>
      </c>
      <c r="I69" s="2">
        <v>49</v>
      </c>
      <c r="J69" t="str">
        <f>IF(I69&lt;= 35,"A1",IF(I69&lt;= 45,"A2","A3"))</f>
        <v>A3</v>
      </c>
      <c r="K69" s="2">
        <f t="shared" si="1"/>
        <v>90.766233766233768</v>
      </c>
    </row>
    <row r="70" spans="1:11" x14ac:dyDescent="0.45">
      <c r="A70" s="2">
        <v>69</v>
      </c>
      <c r="B70" s="1">
        <v>45532</v>
      </c>
      <c r="C70" s="2" t="s">
        <v>27</v>
      </c>
      <c r="D70" s="2" t="s">
        <v>16</v>
      </c>
      <c r="E70" s="2" t="s">
        <v>14</v>
      </c>
      <c r="F70" s="2">
        <v>183</v>
      </c>
      <c r="G70" s="2">
        <v>679</v>
      </c>
      <c r="H70" s="2" t="s">
        <v>18</v>
      </c>
      <c r="I70" s="2">
        <v>36</v>
      </c>
      <c r="J70" t="str">
        <f>IF(I70&lt;= 35,"A1",IF(I70&lt;= 45,"A2","A3"))</f>
        <v>A2</v>
      </c>
      <c r="K70" s="2">
        <f t="shared" si="1"/>
        <v>3.7103825136612021</v>
      </c>
    </row>
    <row r="71" spans="1:11" x14ac:dyDescent="0.45">
      <c r="A71" s="2">
        <v>70</v>
      </c>
      <c r="B71" s="1">
        <v>45232</v>
      </c>
      <c r="C71" s="2" t="s">
        <v>15</v>
      </c>
      <c r="D71" s="2" t="s">
        <v>24</v>
      </c>
      <c r="E71" s="2" t="s">
        <v>14</v>
      </c>
      <c r="F71" s="2">
        <v>335</v>
      </c>
      <c r="G71" s="2">
        <v>36984</v>
      </c>
      <c r="H71" s="2" t="s">
        <v>11</v>
      </c>
      <c r="I71" s="2">
        <v>42</v>
      </c>
      <c r="J71" t="str">
        <f>IF(I71&lt;= 35,"A1",IF(I71&lt;= 45,"A2","A3"))</f>
        <v>A2</v>
      </c>
      <c r="K71" s="2">
        <f t="shared" si="1"/>
        <v>110.4</v>
      </c>
    </row>
    <row r="72" spans="1:11" x14ac:dyDescent="0.45">
      <c r="A72" s="2">
        <v>71</v>
      </c>
      <c r="B72" s="1">
        <v>45350</v>
      </c>
      <c r="C72" s="2" t="s">
        <v>15</v>
      </c>
      <c r="D72" s="2" t="s">
        <v>26</v>
      </c>
      <c r="E72" s="2" t="s">
        <v>14</v>
      </c>
      <c r="F72" s="2">
        <v>95</v>
      </c>
      <c r="G72" s="2">
        <v>46800</v>
      </c>
      <c r="H72" s="2" t="s">
        <v>18</v>
      </c>
      <c r="I72" s="2">
        <v>49</v>
      </c>
      <c r="J72" t="str">
        <f>IF(I72&lt;= 35,"A1",IF(I72&lt;= 45,"A2","A3"))</f>
        <v>A3</v>
      </c>
      <c r="K72" s="2">
        <f t="shared" si="1"/>
        <v>492.63157894736844</v>
      </c>
    </row>
    <row r="73" spans="1:11" x14ac:dyDescent="0.45">
      <c r="A73" s="2">
        <v>72</v>
      </c>
      <c r="B73" s="1">
        <v>45356</v>
      </c>
      <c r="C73" s="2" t="s">
        <v>15</v>
      </c>
      <c r="D73" s="2" t="s">
        <v>24</v>
      </c>
      <c r="E73" s="2" t="s">
        <v>14</v>
      </c>
      <c r="F73" s="2">
        <v>218</v>
      </c>
      <c r="G73" s="2">
        <v>7125</v>
      </c>
      <c r="H73" s="2" t="s">
        <v>18</v>
      </c>
      <c r="I73" s="2">
        <v>42</v>
      </c>
      <c r="J73" t="str">
        <f>IF(I73&lt;= 35,"A1",IF(I73&lt;= 45,"A2","A3"))</f>
        <v>A2</v>
      </c>
      <c r="K73" s="2">
        <f t="shared" si="1"/>
        <v>32.683486238532112</v>
      </c>
    </row>
    <row r="74" spans="1:11" x14ac:dyDescent="0.45">
      <c r="A74" s="2">
        <v>73</v>
      </c>
      <c r="B74" s="1">
        <v>45506</v>
      </c>
      <c r="C74" s="2" t="s">
        <v>12</v>
      </c>
      <c r="D74" s="2" t="s">
        <v>24</v>
      </c>
      <c r="E74" s="2" t="s">
        <v>17</v>
      </c>
      <c r="F74" s="2">
        <v>265</v>
      </c>
      <c r="G74" s="2">
        <v>12320</v>
      </c>
      <c r="H74" s="2" t="s">
        <v>11</v>
      </c>
      <c r="I74" s="2">
        <v>42</v>
      </c>
      <c r="J74" t="str">
        <f>IF(I74&lt;= 35,"A1",IF(I74&lt;= 45,"A2","A3"))</f>
        <v>A2</v>
      </c>
      <c r="K74" s="2">
        <f t="shared" si="1"/>
        <v>46.490566037735846</v>
      </c>
    </row>
    <row r="75" spans="1:11" x14ac:dyDescent="0.45">
      <c r="A75" s="2">
        <v>74</v>
      </c>
      <c r="B75" s="1">
        <v>45197</v>
      </c>
      <c r="C75" s="2" t="s">
        <v>12</v>
      </c>
      <c r="D75" s="2" t="s">
        <v>13</v>
      </c>
      <c r="E75" s="2" t="s">
        <v>23</v>
      </c>
      <c r="F75" s="2">
        <v>213</v>
      </c>
      <c r="G75" s="2">
        <v>42028</v>
      </c>
      <c r="H75" s="2" t="s">
        <v>11</v>
      </c>
      <c r="I75" s="2">
        <v>52</v>
      </c>
      <c r="J75" t="str">
        <f>IF(I75&lt;= 35,"A1",IF(I75&lt;= 45,"A2","A3"))</f>
        <v>A3</v>
      </c>
      <c r="K75" s="2">
        <f t="shared" si="1"/>
        <v>197.31455399061034</v>
      </c>
    </row>
    <row r="76" spans="1:11" x14ac:dyDescent="0.45">
      <c r="A76" s="2">
        <v>75</v>
      </c>
      <c r="B76" s="1">
        <v>45357</v>
      </c>
      <c r="C76" s="2" t="s">
        <v>12</v>
      </c>
      <c r="D76" s="2" t="s">
        <v>22</v>
      </c>
      <c r="E76" s="2" t="s">
        <v>10</v>
      </c>
      <c r="F76" s="2">
        <v>128</v>
      </c>
      <c r="G76" s="2">
        <v>679</v>
      </c>
      <c r="H76" s="2" t="s">
        <v>18</v>
      </c>
      <c r="I76" s="2">
        <v>28</v>
      </c>
      <c r="J76" t="str">
        <f>IF(I76&lt;= 35,"A1",IF(I76&lt;= 45,"A2","A3"))</f>
        <v>A1</v>
      </c>
      <c r="K76" s="2">
        <f t="shared" si="1"/>
        <v>5.3046875</v>
      </c>
    </row>
    <row r="77" spans="1:11" x14ac:dyDescent="0.45">
      <c r="A77" s="2">
        <v>76</v>
      </c>
      <c r="B77" s="1">
        <v>45217</v>
      </c>
      <c r="C77" s="2" t="s">
        <v>15</v>
      </c>
      <c r="D77" s="2" t="s">
        <v>9</v>
      </c>
      <c r="E77" s="2" t="s">
        <v>23</v>
      </c>
      <c r="F77" s="2">
        <v>208</v>
      </c>
      <c r="G77" s="2">
        <v>25758</v>
      </c>
      <c r="H77" s="2" t="s">
        <v>28</v>
      </c>
      <c r="I77" s="2">
        <v>25</v>
      </c>
      <c r="J77" t="str">
        <f>IF(I77&lt;= 35,"A1",IF(I77&lt;= 45,"A2","A3"))</f>
        <v>A1</v>
      </c>
      <c r="K77" s="2">
        <f t="shared" si="1"/>
        <v>123.83653846153847</v>
      </c>
    </row>
    <row r="78" spans="1:11" x14ac:dyDescent="0.45">
      <c r="A78" s="2">
        <v>77</v>
      </c>
      <c r="B78" s="1">
        <v>45478</v>
      </c>
      <c r="C78" s="2" t="s">
        <v>12</v>
      </c>
      <c r="D78" s="2" t="s">
        <v>24</v>
      </c>
      <c r="E78" s="2" t="s">
        <v>14</v>
      </c>
      <c r="F78" s="2">
        <v>115</v>
      </c>
      <c r="G78" s="2">
        <v>34804</v>
      </c>
      <c r="H78" s="2" t="s">
        <v>11</v>
      </c>
      <c r="I78" s="2">
        <v>42</v>
      </c>
      <c r="J78" t="str">
        <f>IF(I78&lt;= 35,"A1",IF(I78&lt;= 45,"A2","A3"))</f>
        <v>A2</v>
      </c>
      <c r="K78" s="2">
        <f t="shared" si="1"/>
        <v>302.64347826086959</v>
      </c>
    </row>
    <row r="79" spans="1:11" x14ac:dyDescent="0.45">
      <c r="A79" s="2">
        <v>78</v>
      </c>
      <c r="B79" s="1">
        <v>45469</v>
      </c>
      <c r="C79" s="2" t="s">
        <v>8</v>
      </c>
      <c r="D79" s="2" t="s">
        <v>20</v>
      </c>
      <c r="E79" s="2" t="s">
        <v>10</v>
      </c>
      <c r="F79" s="2">
        <v>465</v>
      </c>
      <c r="G79" s="2">
        <v>679</v>
      </c>
      <c r="H79" s="2" t="s">
        <v>11</v>
      </c>
      <c r="I79" s="2">
        <v>26</v>
      </c>
      <c r="J79" t="str">
        <f>IF(I79&lt;= 35,"A1",IF(I79&lt;= 45,"A2","A3"))</f>
        <v>A1</v>
      </c>
      <c r="K79" s="2">
        <f t="shared" si="1"/>
        <v>1.4602150537634409</v>
      </c>
    </row>
    <row r="80" spans="1:11" x14ac:dyDescent="0.45">
      <c r="A80" s="2">
        <v>79</v>
      </c>
      <c r="B80" s="1">
        <v>45544</v>
      </c>
      <c r="C80" s="2" t="s">
        <v>27</v>
      </c>
      <c r="D80" s="2" t="s">
        <v>24</v>
      </c>
      <c r="E80" s="2" t="s">
        <v>17</v>
      </c>
      <c r="F80" s="2">
        <v>519</v>
      </c>
      <c r="G80" s="2">
        <v>45312</v>
      </c>
      <c r="H80" s="2" t="s">
        <v>18</v>
      </c>
      <c r="I80" s="2">
        <v>42</v>
      </c>
      <c r="J80" t="str">
        <f>IF(I80&lt;= 35,"A1",IF(I80&lt;= 45,"A2","A3"))</f>
        <v>A2</v>
      </c>
      <c r="K80" s="2">
        <f t="shared" si="1"/>
        <v>87.306358381502889</v>
      </c>
    </row>
    <row r="81" spans="1:11" x14ac:dyDescent="0.45">
      <c r="A81" s="2">
        <v>80</v>
      </c>
      <c r="B81" s="1">
        <v>45350</v>
      </c>
      <c r="C81" s="2" t="s">
        <v>8</v>
      </c>
      <c r="D81" s="2" t="s">
        <v>19</v>
      </c>
      <c r="E81" s="2" t="s">
        <v>17</v>
      </c>
      <c r="F81" s="2">
        <v>380</v>
      </c>
      <c r="G81" s="2">
        <v>44525</v>
      </c>
      <c r="H81" s="2" t="s">
        <v>28</v>
      </c>
      <c r="I81" s="2">
        <v>57</v>
      </c>
      <c r="J81" t="str">
        <f>IF(I81&lt;= 35,"A1",IF(I81&lt;= 45,"A2","A3"))</f>
        <v>A3</v>
      </c>
      <c r="K81" s="2">
        <f t="shared" si="1"/>
        <v>117.17105263157895</v>
      </c>
    </row>
    <row r="82" spans="1:11" x14ac:dyDescent="0.45">
      <c r="A82" s="2">
        <v>81</v>
      </c>
      <c r="B82" s="1">
        <v>45335</v>
      </c>
      <c r="C82" s="2" t="s">
        <v>27</v>
      </c>
      <c r="D82" s="2" t="s">
        <v>24</v>
      </c>
      <c r="E82" s="2" t="s">
        <v>10</v>
      </c>
      <c r="F82" s="2">
        <v>32</v>
      </c>
      <c r="G82" s="2">
        <v>3132</v>
      </c>
      <c r="H82" s="2" t="s">
        <v>18</v>
      </c>
      <c r="I82" s="2">
        <v>42</v>
      </c>
      <c r="J82" t="str">
        <f>IF(I82&lt;= 35,"A1",IF(I82&lt;= 45,"A2","A3"))</f>
        <v>A2</v>
      </c>
      <c r="K82" s="2">
        <f t="shared" si="1"/>
        <v>97.875</v>
      </c>
    </row>
    <row r="83" spans="1:11" x14ac:dyDescent="0.45">
      <c r="A83" s="2">
        <v>82</v>
      </c>
      <c r="B83" s="1">
        <v>45457</v>
      </c>
      <c r="C83" s="2" t="s">
        <v>27</v>
      </c>
      <c r="D83" s="2" t="s">
        <v>9</v>
      </c>
      <c r="E83" s="2" t="s">
        <v>14</v>
      </c>
      <c r="F83" s="2">
        <v>130</v>
      </c>
      <c r="G83" s="2">
        <v>16740</v>
      </c>
      <c r="H83" s="2" t="s">
        <v>11</v>
      </c>
      <c r="I83" s="2">
        <v>25</v>
      </c>
      <c r="J83" t="str">
        <f>IF(I83&lt;= 35,"A1",IF(I83&lt;= 45,"A2","A3"))</f>
        <v>A1</v>
      </c>
      <c r="K83" s="2">
        <f t="shared" si="1"/>
        <v>128.76923076923077</v>
      </c>
    </row>
    <row r="84" spans="1:11" x14ac:dyDescent="0.45">
      <c r="A84" s="2">
        <v>83</v>
      </c>
      <c r="B84" s="1">
        <v>45254</v>
      </c>
      <c r="C84" s="2" t="s">
        <v>12</v>
      </c>
      <c r="D84" s="2" t="s">
        <v>20</v>
      </c>
      <c r="E84" s="2" t="s">
        <v>17</v>
      </c>
      <c r="F84" s="2">
        <v>545</v>
      </c>
      <c r="G84" s="2">
        <v>65250</v>
      </c>
      <c r="H84" s="2" t="s">
        <v>11</v>
      </c>
      <c r="I84" s="2">
        <v>26</v>
      </c>
      <c r="J84" t="str">
        <f>IF(I84&lt;= 35,"A1",IF(I84&lt;= 45,"A2","A3"))</f>
        <v>A1</v>
      </c>
      <c r="K84" s="2">
        <f t="shared" si="1"/>
        <v>119.72477064220183</v>
      </c>
    </row>
    <row r="85" spans="1:11" x14ac:dyDescent="0.45">
      <c r="A85" s="2">
        <v>84</v>
      </c>
      <c r="B85" s="1">
        <v>45369</v>
      </c>
      <c r="C85" s="2" t="s">
        <v>12</v>
      </c>
      <c r="D85" s="2" t="s">
        <v>21</v>
      </c>
      <c r="E85" s="2" t="s">
        <v>23</v>
      </c>
      <c r="F85" s="2">
        <v>84</v>
      </c>
      <c r="G85" s="2">
        <v>10688</v>
      </c>
      <c r="H85" s="2" t="s">
        <v>11</v>
      </c>
      <c r="I85" s="2">
        <v>28</v>
      </c>
      <c r="J85" t="str">
        <f>IF(I85&lt;= 35,"A1",IF(I85&lt;= 45,"A2","A3"))</f>
        <v>A1</v>
      </c>
      <c r="K85" s="2">
        <f t="shared" si="1"/>
        <v>127.23809523809524</v>
      </c>
    </row>
    <row r="86" spans="1:11" x14ac:dyDescent="0.45">
      <c r="A86" s="2">
        <v>85</v>
      </c>
      <c r="B86" s="1">
        <v>45309</v>
      </c>
      <c r="C86" s="2" t="s">
        <v>12</v>
      </c>
      <c r="D86" s="2" t="s">
        <v>24</v>
      </c>
      <c r="E86" s="2" t="s">
        <v>23</v>
      </c>
      <c r="F86" s="2">
        <v>192</v>
      </c>
      <c r="G86" s="2">
        <v>18648</v>
      </c>
      <c r="H86" s="2" t="s">
        <v>11</v>
      </c>
      <c r="I86" s="2">
        <v>42</v>
      </c>
      <c r="J86" t="str">
        <f>IF(I86&lt;= 35,"A1",IF(I86&lt;= 45,"A2","A3"))</f>
        <v>A2</v>
      </c>
      <c r="K86" s="2">
        <f t="shared" si="1"/>
        <v>97.125</v>
      </c>
    </row>
    <row r="87" spans="1:11" x14ac:dyDescent="0.45">
      <c r="A87" s="2">
        <v>86</v>
      </c>
      <c r="B87" s="1">
        <v>45307</v>
      </c>
      <c r="C87" s="2" t="s">
        <v>8</v>
      </c>
      <c r="D87" s="2" t="s">
        <v>21</v>
      </c>
      <c r="E87" s="2" t="s">
        <v>10</v>
      </c>
      <c r="F87" s="2">
        <v>60</v>
      </c>
      <c r="G87" s="2">
        <v>5822</v>
      </c>
      <c r="H87" s="2" t="s">
        <v>18</v>
      </c>
      <c r="I87" s="2">
        <v>28</v>
      </c>
      <c r="J87" t="str">
        <f>IF(I87&lt;= 35,"A1",IF(I87&lt;= 45,"A2","A3"))</f>
        <v>A1</v>
      </c>
      <c r="K87" s="2">
        <f t="shared" si="1"/>
        <v>97.033333333333331</v>
      </c>
    </row>
    <row r="88" spans="1:11" x14ac:dyDescent="0.45">
      <c r="A88" s="2">
        <v>87</v>
      </c>
      <c r="B88" s="1">
        <v>45330</v>
      </c>
      <c r="C88" s="2" t="s">
        <v>12</v>
      </c>
      <c r="D88" s="2" t="s">
        <v>24</v>
      </c>
      <c r="E88" s="2" t="s">
        <v>14</v>
      </c>
      <c r="F88" s="2">
        <v>209</v>
      </c>
      <c r="G88" s="2">
        <v>51221</v>
      </c>
      <c r="H88" s="2" t="s">
        <v>11</v>
      </c>
      <c r="I88" s="2">
        <v>42</v>
      </c>
      <c r="J88" t="str">
        <f>IF(I88&lt;= 35,"A1",IF(I88&lt;= 45,"A2","A3"))</f>
        <v>A2</v>
      </c>
      <c r="K88" s="2">
        <f t="shared" si="1"/>
        <v>245.07655502392345</v>
      </c>
    </row>
    <row r="89" spans="1:11" x14ac:dyDescent="0.45">
      <c r="A89" s="2">
        <v>88</v>
      </c>
      <c r="B89" s="1">
        <v>45305</v>
      </c>
      <c r="C89" s="2" t="s">
        <v>15</v>
      </c>
      <c r="D89" s="2" t="s">
        <v>21</v>
      </c>
      <c r="E89" s="2" t="s">
        <v>14</v>
      </c>
      <c r="F89" s="2">
        <v>264</v>
      </c>
      <c r="G89" s="2">
        <v>75332</v>
      </c>
      <c r="H89" s="2" t="s">
        <v>11</v>
      </c>
      <c r="I89" s="2">
        <v>28</v>
      </c>
      <c r="J89" t="str">
        <f>IF(I89&lt;= 35,"A1",IF(I89&lt;= 45,"A2","A3"))</f>
        <v>A1</v>
      </c>
      <c r="K89" s="2">
        <f t="shared" si="1"/>
        <v>285.34848484848487</v>
      </c>
    </row>
    <row r="90" spans="1:11" x14ac:dyDescent="0.45">
      <c r="A90" s="2">
        <v>89</v>
      </c>
      <c r="B90" s="1">
        <v>45348</v>
      </c>
      <c r="C90" s="2" t="s">
        <v>12</v>
      </c>
      <c r="D90" s="2" t="s">
        <v>20</v>
      </c>
      <c r="E90" s="2" t="s">
        <v>23</v>
      </c>
      <c r="F90" s="2">
        <v>97</v>
      </c>
      <c r="G90" s="2">
        <v>679</v>
      </c>
      <c r="H90" s="2" t="s">
        <v>11</v>
      </c>
      <c r="I90" s="2">
        <v>26</v>
      </c>
      <c r="J90" t="str">
        <f>IF(I90&lt;= 35,"A1",IF(I90&lt;= 45,"A2","A3"))</f>
        <v>A1</v>
      </c>
      <c r="K90" s="2">
        <f t="shared" si="1"/>
        <v>7</v>
      </c>
    </row>
    <row r="91" spans="1:11" x14ac:dyDescent="0.45">
      <c r="A91" s="2">
        <v>90</v>
      </c>
      <c r="B91" s="1">
        <v>45289</v>
      </c>
      <c r="C91" s="2" t="s">
        <v>12</v>
      </c>
      <c r="D91" s="2" t="s">
        <v>20</v>
      </c>
      <c r="E91" s="2" t="s">
        <v>14</v>
      </c>
      <c r="F91" s="2">
        <v>404</v>
      </c>
      <c r="G91" s="2">
        <v>13310</v>
      </c>
      <c r="H91" s="2" t="s">
        <v>11</v>
      </c>
      <c r="I91" s="2">
        <v>26</v>
      </c>
      <c r="J91" t="str">
        <f>IF(I91&lt;= 35,"A1",IF(I91&lt;= 45,"A2","A3"))</f>
        <v>A1</v>
      </c>
      <c r="K91" s="2">
        <f t="shared" si="1"/>
        <v>32.945544554455445</v>
      </c>
    </row>
    <row r="92" spans="1:11" x14ac:dyDescent="0.45">
      <c r="A92" s="2">
        <v>91</v>
      </c>
      <c r="B92" s="1">
        <v>45444</v>
      </c>
      <c r="C92" s="2" t="s">
        <v>15</v>
      </c>
      <c r="D92" s="2" t="s">
        <v>24</v>
      </c>
      <c r="E92" s="2" t="s">
        <v>17</v>
      </c>
      <c r="F92" s="2">
        <v>386</v>
      </c>
      <c r="G92" s="2">
        <v>47952</v>
      </c>
      <c r="H92" s="2" t="s">
        <v>18</v>
      </c>
      <c r="I92" s="2">
        <v>42</v>
      </c>
      <c r="J92" t="str">
        <f>IF(I92&lt;= 35,"A1",IF(I92&lt;= 45,"A2","A3"))</f>
        <v>A2</v>
      </c>
      <c r="K92" s="2">
        <f t="shared" si="1"/>
        <v>124.2279792746114</v>
      </c>
    </row>
    <row r="93" spans="1:11" x14ac:dyDescent="0.45">
      <c r="A93" s="2">
        <v>92</v>
      </c>
      <c r="B93" s="1">
        <v>45329</v>
      </c>
      <c r="C93" s="2" t="s">
        <v>8</v>
      </c>
      <c r="D93" s="2" t="s">
        <v>9</v>
      </c>
      <c r="E93" s="2" t="s">
        <v>17</v>
      </c>
      <c r="F93" s="2">
        <v>214</v>
      </c>
      <c r="G93" s="2">
        <v>4984</v>
      </c>
      <c r="H93" s="2" t="s">
        <v>18</v>
      </c>
      <c r="I93" s="2">
        <v>25</v>
      </c>
      <c r="J93" t="str">
        <f>IF(I93&lt;= 35,"A1",IF(I93&lt;= 45,"A2","A3"))</f>
        <v>A1</v>
      </c>
      <c r="K93" s="2">
        <f t="shared" si="1"/>
        <v>23.289719626168225</v>
      </c>
    </row>
    <row r="94" spans="1:11" x14ac:dyDescent="0.45">
      <c r="A94" s="2">
        <v>93</v>
      </c>
      <c r="B94" s="1">
        <v>45277</v>
      </c>
      <c r="C94" s="2" t="s">
        <v>8</v>
      </c>
      <c r="D94" s="2" t="s">
        <v>22</v>
      </c>
      <c r="E94" s="2" t="s">
        <v>10</v>
      </c>
      <c r="F94" s="2">
        <v>366</v>
      </c>
      <c r="G94" s="2">
        <v>4131</v>
      </c>
      <c r="H94" s="2" t="s">
        <v>18</v>
      </c>
      <c r="I94" s="2">
        <v>28</v>
      </c>
      <c r="J94" t="str">
        <f>IF(I94&lt;= 35,"A1",IF(I94&lt;= 45,"A2","A3"))</f>
        <v>A1</v>
      </c>
      <c r="K94" s="2">
        <f t="shared" si="1"/>
        <v>11.28688524590164</v>
      </c>
    </row>
    <row r="95" spans="1:11" x14ac:dyDescent="0.45">
      <c r="A95" s="2">
        <v>94</v>
      </c>
      <c r="B95" s="1">
        <v>45427</v>
      </c>
      <c r="C95" s="2" t="s">
        <v>15</v>
      </c>
      <c r="D95" s="2" t="s">
        <v>25</v>
      </c>
      <c r="E95" s="2" t="s">
        <v>10</v>
      </c>
      <c r="F95" s="2">
        <v>173</v>
      </c>
      <c r="G95" s="2">
        <v>24549</v>
      </c>
      <c r="H95" s="2" t="s">
        <v>18</v>
      </c>
      <c r="I95" s="2">
        <v>25</v>
      </c>
      <c r="J95" t="str">
        <f>IF(I95&lt;= 35,"A1",IF(I95&lt;= 45,"A2","A3"))</f>
        <v>A1</v>
      </c>
      <c r="K95" s="2">
        <f t="shared" si="1"/>
        <v>141.90173410404626</v>
      </c>
    </row>
    <row r="96" spans="1:11" x14ac:dyDescent="0.45">
      <c r="A96" s="2">
        <v>95</v>
      </c>
      <c r="B96" s="1">
        <v>45521</v>
      </c>
      <c r="C96" s="2" t="s">
        <v>15</v>
      </c>
      <c r="D96" s="2" t="s">
        <v>24</v>
      </c>
      <c r="E96" s="2" t="s">
        <v>14</v>
      </c>
      <c r="F96" s="2">
        <v>306</v>
      </c>
      <c r="G96" s="2">
        <v>679</v>
      </c>
      <c r="H96" s="2" t="s">
        <v>11</v>
      </c>
      <c r="I96" s="2">
        <v>42</v>
      </c>
      <c r="J96" t="str">
        <f>IF(I96&lt;= 35,"A1",IF(I96&lt;= 45,"A2","A3"))</f>
        <v>A2</v>
      </c>
      <c r="K96" s="2">
        <f t="shared" si="1"/>
        <v>2.2189542483660132</v>
      </c>
    </row>
    <row r="97" spans="1:11" x14ac:dyDescent="0.45">
      <c r="A97" s="2">
        <v>96</v>
      </c>
      <c r="B97" s="1">
        <v>45347</v>
      </c>
      <c r="C97" s="2" t="s">
        <v>15</v>
      </c>
      <c r="D97" s="2" t="s">
        <v>21</v>
      </c>
      <c r="E97" s="2" t="s">
        <v>10</v>
      </c>
      <c r="F97" s="2">
        <v>128</v>
      </c>
      <c r="G97" s="2">
        <v>35088</v>
      </c>
      <c r="H97" s="2" t="s">
        <v>18</v>
      </c>
      <c r="I97" s="2">
        <v>28</v>
      </c>
      <c r="J97" t="str">
        <f>IF(I97&lt;= 35,"A1",IF(I97&lt;= 45,"A2","A3"))</f>
        <v>A1</v>
      </c>
      <c r="K97" s="2">
        <f t="shared" si="1"/>
        <v>274.125</v>
      </c>
    </row>
    <row r="98" spans="1:11" x14ac:dyDescent="0.45">
      <c r="A98" s="2">
        <v>97</v>
      </c>
      <c r="B98" s="1">
        <v>45293</v>
      </c>
      <c r="C98" s="2" t="s">
        <v>12</v>
      </c>
      <c r="D98" s="2" t="s">
        <v>9</v>
      </c>
      <c r="E98" s="2" t="s">
        <v>23</v>
      </c>
      <c r="F98" s="2">
        <v>368</v>
      </c>
      <c r="G98" s="2">
        <v>25254</v>
      </c>
      <c r="H98" s="2" t="s">
        <v>11</v>
      </c>
      <c r="I98" s="2">
        <v>25</v>
      </c>
      <c r="J98" t="str">
        <f>IF(I98&lt;= 35,"A1",IF(I98&lt;= 45,"A2","A3"))</f>
        <v>A1</v>
      </c>
      <c r="K98" s="2">
        <f t="shared" si="1"/>
        <v>68.625</v>
      </c>
    </row>
    <row r="99" spans="1:11" x14ac:dyDescent="0.45">
      <c r="A99" s="2">
        <v>98</v>
      </c>
      <c r="B99" s="1">
        <v>45282</v>
      </c>
      <c r="C99" s="2" t="s">
        <v>12</v>
      </c>
      <c r="D99" s="2" t="s">
        <v>19</v>
      </c>
      <c r="E99" s="2" t="s">
        <v>17</v>
      </c>
      <c r="F99" s="2">
        <v>222</v>
      </c>
      <c r="G99" s="2">
        <v>17500</v>
      </c>
      <c r="H99" s="2" t="s">
        <v>18</v>
      </c>
      <c r="I99" s="2">
        <v>57</v>
      </c>
      <c r="J99" t="str">
        <f>IF(I99&lt;= 35,"A1",IF(I99&lt;= 45,"A2","A3"))</f>
        <v>A3</v>
      </c>
      <c r="K99" s="2">
        <f t="shared" si="1"/>
        <v>78.828828828828833</v>
      </c>
    </row>
    <row r="100" spans="1:11" x14ac:dyDescent="0.45">
      <c r="A100" s="2">
        <v>99</v>
      </c>
      <c r="B100" s="1">
        <v>45464</v>
      </c>
      <c r="C100" s="2" t="s">
        <v>12</v>
      </c>
      <c r="D100" s="2" t="s">
        <v>24</v>
      </c>
      <c r="E100" s="2" t="s">
        <v>23</v>
      </c>
      <c r="F100" s="2">
        <v>216</v>
      </c>
      <c r="G100" s="2">
        <v>36934</v>
      </c>
      <c r="H100" s="2" t="s">
        <v>11</v>
      </c>
      <c r="I100" s="2">
        <v>42</v>
      </c>
      <c r="J100" t="str">
        <f>IF(I100&lt;= 35,"A1",IF(I100&lt;= 45,"A2","A3"))</f>
        <v>A2</v>
      </c>
      <c r="K100" s="2">
        <f t="shared" si="1"/>
        <v>170.99074074074073</v>
      </c>
    </row>
    <row r="101" spans="1:11" x14ac:dyDescent="0.45">
      <c r="A101" s="2">
        <v>100</v>
      </c>
      <c r="B101" s="1">
        <v>45286</v>
      </c>
      <c r="C101" s="2" t="s">
        <v>12</v>
      </c>
      <c r="D101" s="2" t="s">
        <v>13</v>
      </c>
      <c r="E101" s="2" t="s">
        <v>23</v>
      </c>
      <c r="F101" s="2">
        <v>307</v>
      </c>
      <c r="G101" s="2">
        <v>679</v>
      </c>
      <c r="H101" s="2" t="s">
        <v>11</v>
      </c>
      <c r="I101" s="2">
        <v>52</v>
      </c>
      <c r="J101" t="str">
        <f>IF(I101&lt;= 35,"A1",IF(I101&lt;= 45,"A2","A3"))</f>
        <v>A3</v>
      </c>
      <c r="K101" s="2">
        <f t="shared" si="1"/>
        <v>2.2117263843648209</v>
      </c>
    </row>
    <row r="102" spans="1:11" x14ac:dyDescent="0.45">
      <c r="A102" s="2">
        <v>101</v>
      </c>
      <c r="B102" s="1">
        <v>45215</v>
      </c>
      <c r="C102" s="2" t="s">
        <v>8</v>
      </c>
      <c r="D102" s="2" t="s">
        <v>9</v>
      </c>
      <c r="E102" s="2" t="s">
        <v>14</v>
      </c>
      <c r="F102" s="2">
        <v>384</v>
      </c>
      <c r="G102" s="2">
        <v>40565</v>
      </c>
      <c r="H102" s="2" t="s">
        <v>11</v>
      </c>
      <c r="I102" s="2">
        <v>25</v>
      </c>
      <c r="J102" t="str">
        <f>IF(I102&lt;= 35,"A1",IF(I102&lt;= 45,"A2","A3"))</f>
        <v>A1</v>
      </c>
      <c r="K102" s="2">
        <f t="shared" si="1"/>
        <v>105.63802083333333</v>
      </c>
    </row>
    <row r="103" spans="1:11" x14ac:dyDescent="0.45">
      <c r="A103" s="2">
        <v>102</v>
      </c>
      <c r="B103" s="1">
        <v>45497</v>
      </c>
      <c r="C103" s="2" t="s">
        <v>27</v>
      </c>
      <c r="D103" s="2" t="s">
        <v>20</v>
      </c>
      <c r="E103" s="2" t="s">
        <v>10</v>
      </c>
      <c r="F103" s="2">
        <v>376</v>
      </c>
      <c r="G103" s="2">
        <v>679</v>
      </c>
      <c r="H103" s="2" t="s">
        <v>11</v>
      </c>
      <c r="I103" s="2">
        <v>26</v>
      </c>
      <c r="J103" t="str">
        <f>IF(I103&lt;= 35,"A1",IF(I103&lt;= 45,"A2","A3"))</f>
        <v>A1</v>
      </c>
      <c r="K103" s="2">
        <f t="shared" si="1"/>
        <v>1.8058510638297873</v>
      </c>
    </row>
    <row r="104" spans="1:11" x14ac:dyDescent="0.45">
      <c r="A104" s="2">
        <v>103</v>
      </c>
      <c r="B104" s="1">
        <v>45274</v>
      </c>
      <c r="C104" s="2" t="s">
        <v>27</v>
      </c>
      <c r="D104" s="2" t="s">
        <v>19</v>
      </c>
      <c r="E104" s="2" t="s">
        <v>10</v>
      </c>
      <c r="F104" s="2">
        <v>97</v>
      </c>
      <c r="G104" s="2">
        <v>679</v>
      </c>
      <c r="H104" s="2" t="s">
        <v>11</v>
      </c>
      <c r="I104" s="2">
        <v>57</v>
      </c>
      <c r="J104" t="str">
        <f>IF(I104&lt;= 35,"A1",IF(I104&lt;= 45,"A2","A3"))</f>
        <v>A3</v>
      </c>
      <c r="K104" s="2">
        <f t="shared" si="1"/>
        <v>7</v>
      </c>
    </row>
    <row r="105" spans="1:11" x14ac:dyDescent="0.45">
      <c r="A105" s="2">
        <v>104</v>
      </c>
      <c r="B105" s="1">
        <v>45243</v>
      </c>
      <c r="C105" s="2" t="s">
        <v>12</v>
      </c>
      <c r="D105" s="2" t="s">
        <v>24</v>
      </c>
      <c r="E105" s="2" t="s">
        <v>17</v>
      </c>
      <c r="F105" s="2">
        <v>359</v>
      </c>
      <c r="G105" s="2">
        <v>12753</v>
      </c>
      <c r="H105" s="2" t="s">
        <v>18</v>
      </c>
      <c r="I105" s="2">
        <v>42</v>
      </c>
      <c r="J105" t="str">
        <f>IF(I105&lt;= 35,"A1",IF(I105&lt;= 45,"A2","A3"))</f>
        <v>A2</v>
      </c>
      <c r="K105" s="2">
        <f t="shared" si="1"/>
        <v>35.523676880222844</v>
      </c>
    </row>
    <row r="106" spans="1:11" x14ac:dyDescent="0.45">
      <c r="A106" s="2">
        <v>105</v>
      </c>
      <c r="B106" s="1">
        <v>45350</v>
      </c>
      <c r="C106" s="2" t="s">
        <v>15</v>
      </c>
      <c r="D106" s="2" t="s">
        <v>24</v>
      </c>
      <c r="E106" s="2" t="s">
        <v>17</v>
      </c>
      <c r="F106" s="2">
        <v>318</v>
      </c>
      <c r="G106" s="2">
        <v>16864</v>
      </c>
      <c r="H106" s="2" t="s">
        <v>18</v>
      </c>
      <c r="I106" s="2">
        <v>42</v>
      </c>
      <c r="J106" t="str">
        <f>IF(I106&lt;= 35,"A1",IF(I106&lt;= 45,"A2","A3"))</f>
        <v>A2</v>
      </c>
      <c r="K106" s="2">
        <f t="shared" si="1"/>
        <v>53.031446540880502</v>
      </c>
    </row>
    <row r="107" spans="1:11" x14ac:dyDescent="0.45">
      <c r="A107" s="2">
        <v>106</v>
      </c>
      <c r="B107" s="1">
        <v>45392</v>
      </c>
      <c r="C107" s="2" t="s">
        <v>8</v>
      </c>
      <c r="D107" s="2" t="s">
        <v>24</v>
      </c>
      <c r="E107" s="2" t="s">
        <v>10</v>
      </c>
      <c r="F107" s="2">
        <v>51</v>
      </c>
      <c r="G107" s="2">
        <v>56888</v>
      </c>
      <c r="H107" s="2" t="s">
        <v>11</v>
      </c>
      <c r="I107" s="2">
        <v>42</v>
      </c>
      <c r="J107" t="str">
        <f>IF(I107&lt;= 35,"A1",IF(I107&lt;= 45,"A2","A3"))</f>
        <v>A2</v>
      </c>
      <c r="K107" s="2">
        <f t="shared" si="1"/>
        <v>1115.4509803921569</v>
      </c>
    </row>
    <row r="108" spans="1:11" x14ac:dyDescent="0.45">
      <c r="A108" s="2">
        <v>107</v>
      </c>
      <c r="B108" s="1">
        <v>45412</v>
      </c>
      <c r="C108" s="2" t="s">
        <v>27</v>
      </c>
      <c r="D108" s="2" t="s">
        <v>21</v>
      </c>
      <c r="E108" s="2" t="s">
        <v>17</v>
      </c>
      <c r="F108" s="2">
        <v>236</v>
      </c>
      <c r="G108" s="2">
        <v>679</v>
      </c>
      <c r="H108" s="2" t="s">
        <v>28</v>
      </c>
      <c r="I108" s="2">
        <v>28</v>
      </c>
      <c r="J108" t="str">
        <f>IF(I108&lt;= 35,"A1",IF(I108&lt;= 45,"A2","A3"))</f>
        <v>A1</v>
      </c>
      <c r="K108" s="2">
        <f t="shared" si="1"/>
        <v>2.8771186440677967</v>
      </c>
    </row>
    <row r="109" spans="1:11" x14ac:dyDescent="0.45">
      <c r="A109" s="2">
        <v>108</v>
      </c>
      <c r="B109" s="1">
        <v>45264</v>
      </c>
      <c r="C109" s="2" t="s">
        <v>12</v>
      </c>
      <c r="D109" s="2" t="s">
        <v>24</v>
      </c>
      <c r="E109" s="2" t="s">
        <v>10</v>
      </c>
      <c r="F109" s="2">
        <v>214</v>
      </c>
      <c r="G109" s="2">
        <v>31122</v>
      </c>
      <c r="H109" s="2" t="s">
        <v>18</v>
      </c>
      <c r="I109" s="2">
        <v>42</v>
      </c>
      <c r="J109" t="str">
        <f>IF(I109&lt;= 35,"A1",IF(I109&lt;= 45,"A2","A3"))</f>
        <v>A2</v>
      </c>
      <c r="K109" s="2">
        <f t="shared" si="1"/>
        <v>145.42990654205607</v>
      </c>
    </row>
    <row r="110" spans="1:11" x14ac:dyDescent="0.45">
      <c r="A110" s="2">
        <v>109</v>
      </c>
      <c r="B110" s="1">
        <v>45256</v>
      </c>
      <c r="C110" s="2" t="s">
        <v>27</v>
      </c>
      <c r="D110" s="2" t="s">
        <v>22</v>
      </c>
      <c r="E110" s="2" t="s">
        <v>10</v>
      </c>
      <c r="F110" s="2">
        <v>86</v>
      </c>
      <c r="G110" s="2">
        <v>25853</v>
      </c>
      <c r="H110" s="2" t="s">
        <v>11</v>
      </c>
      <c r="I110" s="2">
        <v>28</v>
      </c>
      <c r="J110" t="str">
        <f>IF(I110&lt;= 35,"A1",IF(I110&lt;= 45,"A2","A3"))</f>
        <v>A1</v>
      </c>
      <c r="K110" s="2">
        <f t="shared" si="1"/>
        <v>300.61627906976742</v>
      </c>
    </row>
    <row r="111" spans="1:11" x14ac:dyDescent="0.45">
      <c r="A111" s="2">
        <v>110</v>
      </c>
      <c r="B111" s="1">
        <v>45383</v>
      </c>
      <c r="C111" s="2" t="s">
        <v>12</v>
      </c>
      <c r="D111" s="2" t="s">
        <v>13</v>
      </c>
      <c r="E111" s="2" t="s">
        <v>17</v>
      </c>
      <c r="F111" s="2">
        <v>155</v>
      </c>
      <c r="G111" s="2">
        <v>11092</v>
      </c>
      <c r="H111" s="2" t="s">
        <v>11</v>
      </c>
      <c r="I111" s="2">
        <v>52</v>
      </c>
      <c r="J111" t="str">
        <f>IF(I111&lt;= 35,"A1",IF(I111&lt;= 45,"A2","A3"))</f>
        <v>A3</v>
      </c>
      <c r="K111" s="2">
        <f t="shared" si="1"/>
        <v>71.561290322580646</v>
      </c>
    </row>
    <row r="112" spans="1:11" x14ac:dyDescent="0.45">
      <c r="A112" s="2">
        <v>111</v>
      </c>
      <c r="B112" s="1">
        <v>45497</v>
      </c>
      <c r="C112" s="2" t="s">
        <v>15</v>
      </c>
      <c r="D112" s="2" t="s">
        <v>20</v>
      </c>
      <c r="E112" s="2" t="s">
        <v>23</v>
      </c>
      <c r="F112" s="2">
        <v>319</v>
      </c>
      <c r="G112" s="2">
        <v>4221</v>
      </c>
      <c r="H112" s="2" t="s">
        <v>18</v>
      </c>
      <c r="I112" s="2">
        <v>26</v>
      </c>
      <c r="J112" t="str">
        <f>IF(I112&lt;= 35,"A1",IF(I112&lt;= 45,"A2","A3"))</f>
        <v>A1</v>
      </c>
      <c r="K112" s="2">
        <f t="shared" si="1"/>
        <v>13.231974921630094</v>
      </c>
    </row>
    <row r="113" spans="1:11" x14ac:dyDescent="0.45">
      <c r="A113" s="2">
        <v>112</v>
      </c>
      <c r="B113" s="1">
        <v>45527</v>
      </c>
      <c r="C113" s="2" t="s">
        <v>27</v>
      </c>
      <c r="D113" s="2" t="s">
        <v>25</v>
      </c>
      <c r="E113" s="2" t="s">
        <v>10</v>
      </c>
      <c r="F113" s="2">
        <v>62</v>
      </c>
      <c r="G113" s="2">
        <v>31500</v>
      </c>
      <c r="H113" s="2" t="s">
        <v>18</v>
      </c>
      <c r="I113" s="2">
        <v>25</v>
      </c>
      <c r="J113" t="str">
        <f>IF(I113&lt;= 35,"A1",IF(I113&lt;= 45,"A2","A3"))</f>
        <v>A1</v>
      </c>
      <c r="K113" s="2">
        <f t="shared" si="1"/>
        <v>508.06451612903226</v>
      </c>
    </row>
    <row r="114" spans="1:11" x14ac:dyDescent="0.45">
      <c r="A114" s="2">
        <v>113</v>
      </c>
      <c r="B114" s="1">
        <v>45370</v>
      </c>
      <c r="C114" s="2" t="s">
        <v>27</v>
      </c>
      <c r="D114" s="2" t="s">
        <v>20</v>
      </c>
      <c r="E114" s="2" t="s">
        <v>10</v>
      </c>
      <c r="F114" s="2">
        <v>81</v>
      </c>
      <c r="G114" s="2">
        <v>31414</v>
      </c>
      <c r="H114" s="2" t="s">
        <v>11</v>
      </c>
      <c r="I114" s="2">
        <v>26</v>
      </c>
      <c r="J114" t="str">
        <f>IF(I114&lt;= 35,"A1",IF(I114&lt;= 45,"A2","A3"))</f>
        <v>A1</v>
      </c>
      <c r="K114" s="2">
        <f t="shared" si="1"/>
        <v>387.82716049382714</v>
      </c>
    </row>
    <row r="115" spans="1:11" x14ac:dyDescent="0.45">
      <c r="A115" s="2">
        <v>114</v>
      </c>
      <c r="B115" s="1">
        <v>45233</v>
      </c>
      <c r="C115" s="2" t="s">
        <v>15</v>
      </c>
      <c r="D115" s="2" t="s">
        <v>19</v>
      </c>
      <c r="E115" s="2" t="s">
        <v>10</v>
      </c>
      <c r="F115" s="2">
        <v>126</v>
      </c>
      <c r="G115" s="2">
        <v>40446</v>
      </c>
      <c r="H115" s="2" t="s">
        <v>28</v>
      </c>
      <c r="I115" s="2">
        <v>57</v>
      </c>
      <c r="J115" t="str">
        <f>IF(I115&lt;= 35,"A1",IF(I115&lt;= 45,"A2","A3"))</f>
        <v>A3</v>
      </c>
      <c r="K115" s="2">
        <f t="shared" si="1"/>
        <v>321</v>
      </c>
    </row>
    <row r="116" spans="1:11" x14ac:dyDescent="0.45">
      <c r="A116" s="2">
        <v>115</v>
      </c>
      <c r="B116" s="1">
        <v>45232</v>
      </c>
      <c r="C116" s="2" t="s">
        <v>12</v>
      </c>
      <c r="D116" s="2" t="s">
        <v>20</v>
      </c>
      <c r="E116" s="2" t="s">
        <v>10</v>
      </c>
      <c r="F116" s="2">
        <v>541</v>
      </c>
      <c r="G116" s="2">
        <v>42432</v>
      </c>
      <c r="H116" s="2" t="s">
        <v>11</v>
      </c>
      <c r="I116" s="2">
        <v>26</v>
      </c>
      <c r="J116" t="str">
        <f>IF(I116&lt;= 35,"A1",IF(I116&lt;= 45,"A2","A3"))</f>
        <v>A1</v>
      </c>
      <c r="K116" s="2">
        <f t="shared" si="1"/>
        <v>78.432532347504619</v>
      </c>
    </row>
    <row r="117" spans="1:11" x14ac:dyDescent="0.45">
      <c r="A117" s="2">
        <v>116</v>
      </c>
      <c r="B117" s="1">
        <v>45240</v>
      </c>
      <c r="C117" s="2" t="s">
        <v>15</v>
      </c>
      <c r="D117" s="2" t="s">
        <v>21</v>
      </c>
      <c r="E117" s="2" t="s">
        <v>14</v>
      </c>
      <c r="F117" s="2">
        <v>666</v>
      </c>
      <c r="G117" s="2">
        <v>64635</v>
      </c>
      <c r="H117" s="2" t="s">
        <v>18</v>
      </c>
      <c r="I117" s="2">
        <v>28</v>
      </c>
      <c r="J117" t="str">
        <f>IF(I117&lt;= 35,"A1",IF(I117&lt;= 45,"A2","A3"))</f>
        <v>A1</v>
      </c>
      <c r="K117" s="2">
        <f t="shared" si="1"/>
        <v>97.049549549549553</v>
      </c>
    </row>
    <row r="118" spans="1:11" x14ac:dyDescent="0.45">
      <c r="A118" s="2">
        <v>117</v>
      </c>
      <c r="B118" s="1">
        <v>45374</v>
      </c>
      <c r="C118" s="2" t="s">
        <v>15</v>
      </c>
      <c r="D118" s="2" t="s">
        <v>20</v>
      </c>
      <c r="E118" s="2" t="s">
        <v>23</v>
      </c>
      <c r="F118" s="2">
        <v>527</v>
      </c>
      <c r="G118" s="2">
        <v>51168</v>
      </c>
      <c r="H118" s="2" t="s">
        <v>18</v>
      </c>
      <c r="I118" s="2">
        <v>26</v>
      </c>
      <c r="J118" t="str">
        <f>IF(I118&lt;= 35,"A1",IF(I118&lt;= 45,"A2","A3"))</f>
        <v>A1</v>
      </c>
      <c r="K118" s="2">
        <f t="shared" si="1"/>
        <v>97.092979127134726</v>
      </c>
    </row>
    <row r="119" spans="1:11" x14ac:dyDescent="0.45">
      <c r="A119" s="2">
        <v>118</v>
      </c>
      <c r="B119" s="1">
        <v>45273</v>
      </c>
      <c r="C119" s="2" t="s">
        <v>12</v>
      </c>
      <c r="D119" s="2" t="s">
        <v>24</v>
      </c>
      <c r="E119" s="2" t="s">
        <v>10</v>
      </c>
      <c r="F119" s="2">
        <v>289</v>
      </c>
      <c r="G119" s="2">
        <v>24948</v>
      </c>
      <c r="H119" s="2" t="s">
        <v>18</v>
      </c>
      <c r="I119" s="2">
        <v>42</v>
      </c>
      <c r="J119" t="str">
        <f>IF(I119&lt;= 35,"A1",IF(I119&lt;= 45,"A2","A3"))</f>
        <v>A2</v>
      </c>
      <c r="K119" s="2">
        <f t="shared" si="1"/>
        <v>86.325259515570934</v>
      </c>
    </row>
    <row r="120" spans="1:11" x14ac:dyDescent="0.45">
      <c r="A120" s="2">
        <v>119</v>
      </c>
      <c r="B120" s="1">
        <v>45305</v>
      </c>
      <c r="C120" s="2" t="s">
        <v>12</v>
      </c>
      <c r="D120" s="2" t="s">
        <v>19</v>
      </c>
      <c r="E120" s="2" t="s">
        <v>23</v>
      </c>
      <c r="F120" s="2">
        <v>199</v>
      </c>
      <c r="G120" s="2">
        <v>56118</v>
      </c>
      <c r="H120" s="2" t="s">
        <v>28</v>
      </c>
      <c r="I120" s="2">
        <v>57</v>
      </c>
      <c r="J120" t="str">
        <f>IF(I120&lt;= 35,"A1",IF(I120&lt;= 45,"A2","A3"))</f>
        <v>A3</v>
      </c>
      <c r="K120" s="2">
        <f t="shared" si="1"/>
        <v>282</v>
      </c>
    </row>
    <row r="121" spans="1:11" x14ac:dyDescent="0.45">
      <c r="A121" s="2">
        <v>120</v>
      </c>
      <c r="B121" s="1">
        <v>45361</v>
      </c>
      <c r="C121" s="2" t="s">
        <v>27</v>
      </c>
      <c r="D121" s="2" t="s">
        <v>16</v>
      </c>
      <c r="E121" s="2" t="s">
        <v>10</v>
      </c>
      <c r="F121" s="2">
        <v>497</v>
      </c>
      <c r="G121" s="2">
        <v>46548</v>
      </c>
      <c r="H121" s="2" t="s">
        <v>11</v>
      </c>
      <c r="I121" s="2">
        <v>36</v>
      </c>
      <c r="J121" t="str">
        <f>IF(I121&lt;= 35,"A1",IF(I121&lt;= 45,"A2","A3"))</f>
        <v>A2</v>
      </c>
      <c r="K121" s="2">
        <f t="shared" si="1"/>
        <v>93.6579476861167</v>
      </c>
    </row>
  </sheetData>
  <autoFilter ref="A1:K121" xr:uid="{00000000-0001-0000-0000-000000000000}"/>
  <sortState xmlns:xlrd2="http://schemas.microsoft.com/office/spreadsheetml/2017/richdata2" ref="A2:I121">
    <sortCondition ref="A2:A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45F2-67A2-482E-9B65-153369D11BE5}">
  <dimension ref="A1:R7"/>
  <sheetViews>
    <sheetView tabSelected="1" workbookViewId="0">
      <selection activeCell="J53" sqref="J53"/>
    </sheetView>
  </sheetViews>
  <sheetFormatPr defaultRowHeight="14.25" x14ac:dyDescent="0.45"/>
  <sheetData>
    <row r="1" spans="1:18" x14ac:dyDescent="0.45">
      <c r="A1" s="13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4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4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x14ac:dyDescent="0.4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x14ac:dyDescent="0.4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</sheetData>
  <mergeCells count="1">
    <mergeCell ref="A1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1</vt:lpstr>
      <vt:lpstr>Pivot 2</vt:lpstr>
      <vt:lpstr>Pivot 3</vt:lpstr>
      <vt:lpstr>P</vt:lpstr>
      <vt:lpstr>Production 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2026-09-02T18:47:19Z</dcterms:modified>
</cp:coreProperties>
</file>