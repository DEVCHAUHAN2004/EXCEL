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175d7d75aff46778/Desktop/"/>
    </mc:Choice>
  </mc:AlternateContent>
  <xr:revisionPtr revIDLastSave="0" documentId="8_{261C6EFE-CD95-46BA-BA7B-D43373929231}" xr6:coauthVersionLast="47" xr6:coauthVersionMax="47" xr10:uidLastSave="{00000000-0000-0000-0000-000000000000}"/>
  <bookViews>
    <workbookView xWindow="-98" yWindow="-98" windowWidth="21795" windowHeight="13695" firstSheet="4" activeTab="7" xr2:uid="{00000000-000D-0000-FFFF-FFFF00000000}"/>
  </bookViews>
  <sheets>
    <sheet name="Sheet3" sheetId="3" r:id="rId1"/>
    <sheet name="Data" sheetId="1" r:id="rId2"/>
    <sheet name="DASHBOARD" sheetId="11" r:id="rId3"/>
    <sheet name="Pivot 1 Column Chart" sheetId="5" r:id="rId4"/>
    <sheet name="Pivot 2 Bar Chart" sheetId="6" r:id="rId5"/>
    <sheet name="Pivot 3 Line Chart" sheetId="7" r:id="rId6"/>
    <sheet name="Pivot 4 Area Chart" sheetId="8" r:id="rId7"/>
    <sheet name="Pivot 5 Pie Chart" sheetId="9" r:id="rId8"/>
    <sheet name="Sheet2" sheetId="2" state="hidden" r:id="rId9"/>
  </sheets>
  <definedNames>
    <definedName name="_xlnm._FilterDatabase" localSheetId="1" hidden="1">Data!$A$1:$L$2001</definedName>
  </definedNames>
  <calcPr calcId="191029"/>
  <pivotCaches>
    <pivotCache cacheId="16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<sst xmlns="http://schemas.openxmlformats.org/spreadsheetml/2006/main" count="14200" uniqueCount="2060">
  <si>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</si>
  <si>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</si>
  <si>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</si>
  <si>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</si>
  <si>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</si>
  <si>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</si>
  <si>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</si>
  <si>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</si>
  <si>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</si>
  <si>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</si>
  <si>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</si>
  <si>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</si>
  <si>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</si>
  <si>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</si>
  <si>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</si>
  <si>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</si>
  <si>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</si>
  <si>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</si>
  <si>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</si>
  <si>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</si>
  <si>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</si>
  <si>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</si>
  <si>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</si>
  <si>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</si>
  <si>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</si>
  <si>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</si>
  <si>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</si>
  <si>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</si>
  <si>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</si>
  <si>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</si>
  <si>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</si>
  <si>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</si>
  <si>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</si>
  <si>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</si>
  <si>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</si>
  <si>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</si>
  <si>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</si>
  <si>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</si>
  <si>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</si>
  <si>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</si>
  <si>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</si>
  <si>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</si>
  <si>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</si>
  <si>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</si>
  <si>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</si>
  <si>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</si>
  <si>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</si>
  <si>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</si>
  <si>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</si>
  <si>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</si>
  <si>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</si>
  <si>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</si>
  <si>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</si>
  <si>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</si>
  <si>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</si>
  <si>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</si>
  <si>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</si>
  <si>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</si>
  <si>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</si>
  <si>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</si>
  <si>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</si>
  <si>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</si>
  <si>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</si>
  <si>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</si>
  <si>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</si>
  <si>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</si>
  <si>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</si>
  <si>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</si>
  <si>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</si>
  <si>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</si>
  <si>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</si>
  <si>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</si>
  <si>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</si>
  <si>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</si>
  <si>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</si>
  <si>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</si>
  <si>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</si>
  <si>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</si>
  <si>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</si>
  <si>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</si>
  <si>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</si>
  <si>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</si>
  <si>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</si>
  <si>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</si>
  <si>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</si>
  <si>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</si>
  <si>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</si>
  <si>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</si>
  <si>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</si>
  <si>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</si>
  <si>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</si>
  <si>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</si>
  <si>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</si>
  <si>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</si>
  <si>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</si>
  <si>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</si>
  <si>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</si>
  <si>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</si>
  <si>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</si>
  <si>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</si>
  <si>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</si>
  <si>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</si>
  <si>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</si>
  <si>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</si>
  <si>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</si>
  <si>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</si>
  <si>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</si>
  <si>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</si>
  <si>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</si>
  <si>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</si>
  <si>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</si>
  <si>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</si>
  <si>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</si>
  <si>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</si>
  <si>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</si>
  <si>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</si>
  <si>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</si>
  <si>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</si>
  <si>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</si>
  <si>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</si>
  <si>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</si>
  <si>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</si>
  <si>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</si>
  <si>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</si>
  <si>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</si>
  <si>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</si>
  <si>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</si>
  <si>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</si>
  <si>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</si>
  <si>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</si>
  <si>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</si>
  <si>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</si>
  <si>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</si>
  <si>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</si>
  <si>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</si>
  <si>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</si>
  <si>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</si>
  <si>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</si>
  <si>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</si>
  <si>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</si>
  <si>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</si>
  <si>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</si>
  <si>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</si>
  <si>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</si>
  <si>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</si>
  <si>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</si>
  <si>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</si>
  <si>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</si>
  <si>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</si>
  <si>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</si>
  <si>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</si>
  <si>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</si>
  <si>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</si>
  <si>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</si>
  <si>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</si>
  <si>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</si>
  <si>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</si>
  <si>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</si>
  <si>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</si>
  <si>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</si>
  <si>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</si>
  <si>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</si>
  <si>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</si>
  <si>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</si>
  <si>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</si>
  <si>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</si>
  <si>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</si>
  <si>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</si>
  <si>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</si>
  <si>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</si>
  <si>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</si>
  <si>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</si>
  <si>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</si>
  <si>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</si>
  <si>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</si>
  <si>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</si>
  <si>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</si>
  <si>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</si>
  <si>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</si>
  <si>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</si>
  <si>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</si>
  <si>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</si>
  <si>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</si>
  <si>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</si>
  <si>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</si>
  <si>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</si>
  <si>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</si>
  <si>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</si>
  <si>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</si>
  <si>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</si>
  <si>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</si>
  <si>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</si>
  <si>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</si>
  <si>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</si>
  <si>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</si>
  <si>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</si>
  <si>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</si>
  <si>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</si>
  <si>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</si>
  <si>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</si>
  <si>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</si>
  <si>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</si>
  <si>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</si>
  <si>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</si>
  <si>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</si>
  <si>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</si>
  <si>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</si>
  <si>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</si>
  <si>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</si>
  <si>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</si>
  <si>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</si>
  <si>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</si>
  <si>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</si>
  <si>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</si>
  <si>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</si>
  <si>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</si>
  <si>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</si>
  <si>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</si>
  <si>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</si>
  <si>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</si>
  <si>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</si>
  <si>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</si>
  <si>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</si>
  <si>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</si>
  <si>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</si>
  <si>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</si>
  <si>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</si>
  <si>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</si>
  <si>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</si>
  <si>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</si>
  <si>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</si>
  <si>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</si>
  <si>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</si>
  <si>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</si>
  <si>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</si>
  <si>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</si>
  <si>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</si>
  <si>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</si>
  <si>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</si>
  <si>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</si>
  <si>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</si>
  <si>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</si>
  <si>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</si>
  <si>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</si>
  <si>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</si>
  <si>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</si>
  <si>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</si>
  <si>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</si>
  <si>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</si>
  <si>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</si>
  <si>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</si>
  <si>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</si>
  <si>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</si>
  <si>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</si>
  <si>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</si>
  <si>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</si>
  <si>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</si>
  <si>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</si>
  <si>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</si>
  <si>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</si>
  <si>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</si>
  <si>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</si>
  <si>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</si>
  <si>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</si>
  <si>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</si>
  <si>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</si>
  <si>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</si>
  <si>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</si>
  <si>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</si>
  <si>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</si>
  <si>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</si>
  <si>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</si>
  <si>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</si>
  <si>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</si>
  <si>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</si>
  <si>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</si>
  <si>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</si>
  <si>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</si>
  <si>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</si>
  <si>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</si>
  <si>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</si>
  <si>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</si>
  <si>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</si>
  <si>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</si>
  <si>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</si>
  <si>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</si>
  <si>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</si>
  <si>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</si>
  <si>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</si>
  <si>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</si>
  <si>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</si>
  <si>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</si>
  <si>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</si>
  <si>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</si>
  <si>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</si>
  <si>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</si>
  <si>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</si>
  <si>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</si>
  <si>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</si>
  <si>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</si>
  <si>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</si>
  <si>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</si>
  <si>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</si>
  <si>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</si>
  <si>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</si>
  <si>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</si>
  <si>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</si>
  <si>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</si>
  <si>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</si>
  <si>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</si>
  <si>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</si>
  <si>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</si>
  <si>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</si>
  <si>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</si>
  <si>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</si>
  <si>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</si>
  <si>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</si>
  <si>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</si>
  <si>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</si>
  <si>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</si>
  <si>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</si>
  <si>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</si>
  <si>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</si>
  <si>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</si>
  <si>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</si>
  <si>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</si>
  <si>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</si>
  <si>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</si>
  <si>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</si>
  <si>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</si>
  <si>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</si>
  <si>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</si>
  <si>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</si>
  <si>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</si>
  <si>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</si>
  <si>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</si>
  <si>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</si>
  <si>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</si>
  <si>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</si>
  <si>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</si>
  <si>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</si>
  <si>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</si>
  <si>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</si>
  <si>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</si>
  <si>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</si>
  <si>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</si>
  <si>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</si>
  <si>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</si>
  <si>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</si>
  <si>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</si>
  <si>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</si>
  <si>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</si>
  <si>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</si>
  <si>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</si>
  <si>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</si>
  <si>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</si>
  <si>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</si>
  <si>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</si>
  <si>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</si>
  <si>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</si>
  <si>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</si>
  <si>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</si>
  <si>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</si>
  <si>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</si>
  <si>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</si>
  <si>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</si>
  <si>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</si>
  <si>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</si>
  <si>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</si>
  <si>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</si>
  <si>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</si>
  <si>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</si>
  <si>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</si>
  <si>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</si>
  <si>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</si>
  <si>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</si>
  <si>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</si>
  <si>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</si>
  <si>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</si>
  <si>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</si>
  <si>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</si>
  <si>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</si>
  <si>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</si>
  <si>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</si>
  <si>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</si>
  <si>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</si>
  <si>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</si>
  <si>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</si>
  <si>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</si>
  <si>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</si>
  <si>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</si>
  <si>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</si>
  <si>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</si>
  <si>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</si>
  <si>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</si>
  <si>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</si>
  <si>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</si>
  <si>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</si>
  <si>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</si>
  <si>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</si>
  <si>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</si>
  <si>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</si>
  <si>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</si>
  <si>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</si>
  <si>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</si>
  <si>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</si>
  <si>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</si>
  <si>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</si>
  <si>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</si>
  <si>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</si>
  <si>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</si>
  <si>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</si>
  <si>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</si>
  <si>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</si>
  <si>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</si>
  <si>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</si>
  <si>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</si>
  <si>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</si>
  <si>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</si>
  <si>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</si>
  <si>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</si>
  <si>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</si>
  <si>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</si>
  <si>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</si>
  <si>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</si>
  <si>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</si>
  <si>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</si>
  <si>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</si>
  <si>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</si>
  <si>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</si>
  <si>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</si>
  <si>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</si>
  <si>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</si>
  <si>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</si>
  <si>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</si>
  <si>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</si>
  <si>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</si>
  <si>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</si>
  <si>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</si>
  <si>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</si>
  <si>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</si>
  <si>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</si>
  <si>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</si>
  <si>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</si>
  <si>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</si>
  <si>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</si>
  <si>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</si>
  <si>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</si>
  <si>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</si>
  <si>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</si>
  <si>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</si>
  <si>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</si>
  <si>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</si>
  <si>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</si>
  <si>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</si>
  <si>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</si>
  <si>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</si>
  <si>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</si>
  <si>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</si>
  <si>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</si>
  <si>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</si>
  <si>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</si>
  <si>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</si>
  <si>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</si>
  <si>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</si>
  <si>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</si>
  <si>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</si>
  <si>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</si>
  <si>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</si>
  <si>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</si>
  <si>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</si>
  <si>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</si>
  <si>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</si>
  <si>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</si>
  <si>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</si>
  <si>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</si>
  <si>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</si>
  <si>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</si>
  <si>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</si>
  <si>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</si>
  <si>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</si>
  <si>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</si>
  <si>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</si>
  <si>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</si>
  <si>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</si>
  <si>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</si>
  <si>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</si>
  <si>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</si>
  <si>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</si>
  <si>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</si>
  <si>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</si>
  <si>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</si>
  <si>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</si>
  <si>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</si>
  <si>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</si>
  <si>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</si>
  <si>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</si>
  <si>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</si>
  <si>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</si>
  <si>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</si>
  <si>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</si>
  <si>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</si>
  <si>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</si>
  <si>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</si>
  <si>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</si>
  <si>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</si>
  <si>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</si>
  <si>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</si>
  <si>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</si>
  <si>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</si>
  <si>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</si>
  <si>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</si>
  <si>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</si>
  <si>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</si>
  <si>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</si>
  <si>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</si>
  <si>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</si>
  <si>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</si>
  <si>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</si>
  <si>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</si>
  <si>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</si>
  <si>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</si>
  <si>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</si>
  <si>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</si>
  <si>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</si>
  <si>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</si>
  <si>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</si>
  <si>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</si>
  <si>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</si>
  <si>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</si>
  <si>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</si>
  <si>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</si>
  <si>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</si>
  <si>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</si>
  <si>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</si>
  <si>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</si>
  <si>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</si>
  <si>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</si>
  <si>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</si>
  <si>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</si>
  <si>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</si>
  <si>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</si>
  <si>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</si>
  <si>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</si>
  <si>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</si>
  <si>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</si>
  <si>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</si>
  <si>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</si>
  <si>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</si>
  <si>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</si>
  <si>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</si>
  <si>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</si>
  <si>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</si>
  <si>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</si>
  <si>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</si>
  <si>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</si>
  <si>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</si>
  <si>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</si>
  <si>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</si>
  <si>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</si>
  <si>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</si>
  <si>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</si>
  <si>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</si>
  <si>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</si>
  <si>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</si>
  <si>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</si>
  <si>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</si>
  <si>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</si>
  <si>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</si>
  <si>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</si>
  <si>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</si>
  <si>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</si>
  <si>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</si>
  <si>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</si>
  <si>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</si>
  <si>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</si>
  <si>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</si>
  <si>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</si>
  <si>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</si>
  <si>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</si>
  <si>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</si>
  <si>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</si>
  <si>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</si>
  <si>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</si>
  <si>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</si>
  <si>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</si>
  <si>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</si>
  <si>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</si>
  <si>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</si>
  <si>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</si>
  <si>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</si>
  <si>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</si>
  <si>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</si>
  <si>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</si>
  <si>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</si>
  <si>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</si>
  <si>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</si>
  <si>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</si>
  <si>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</si>
  <si>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</si>
  <si>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</si>
  <si>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</si>
  <si>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</si>
  <si>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</si>
  <si>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</si>
  <si>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</si>
  <si>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</si>
  <si>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</si>
  <si>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</si>
  <si>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</si>
  <si>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</si>
  <si>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</si>
  <si>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</si>
  <si>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</si>
  <si>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</si>
  <si>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</si>
  <si>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</si>
  <si>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</si>
  <si>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</si>
  <si>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</si>
  <si>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</si>
  <si>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</si>
  <si>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</si>
  <si>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</si>
  <si>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</si>
  <si>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</si>
  <si>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</si>
  <si>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</si>
  <si>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</si>
  <si>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</si>
  <si>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</si>
  <si>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</si>
  <si>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</si>
  <si>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</si>
  <si>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</si>
  <si>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</si>
  <si>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</si>
  <si>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</si>
  <si>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</si>
  <si>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</si>
  <si>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</si>
  <si>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</si>
  <si>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</si>
  <si>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</si>
  <si>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</si>
  <si>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</si>
  <si>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</si>
  <si>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</si>
  <si>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</si>
  <si>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</si>
  <si>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</si>
  <si>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</si>
  <si>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</si>
  <si>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</si>
  <si>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</si>
  <si>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</si>
  <si>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</si>
  <si>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</si>
  <si>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</si>
  <si>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</si>
  <si>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</si>
  <si>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</si>
  <si>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</si>
  <si>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</si>
  <si>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</si>
  <si>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</si>
  <si>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</si>
  <si>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</si>
  <si>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</si>
  <si>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</si>
  <si>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</si>
  <si>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</si>
  <si>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</si>
  <si>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</si>
  <si>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</si>
  <si>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</si>
  <si>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</si>
  <si>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</si>
  <si>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</si>
  <si>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</si>
  <si>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</si>
  <si>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</si>
  <si>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</si>
  <si>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</si>
  <si>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</si>
  <si>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</si>
  <si>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</si>
  <si>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</si>
  <si>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</si>
  <si>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</si>
  <si>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</si>
  <si>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</si>
  <si>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</si>
  <si>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</si>
  <si>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</si>
  <si>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</si>
  <si>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</si>
  <si>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</si>
  <si>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</si>
  <si>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</si>
  <si>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</si>
  <si>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</si>
  <si>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</si>
  <si>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</si>
  <si>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</si>
  <si>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</si>
  <si>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</si>
  <si>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</si>
  <si>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</si>
  <si>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</si>
  <si>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</si>
  <si>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</si>
  <si>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</si>
  <si>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</si>
  <si>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</si>
  <si>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</si>
  <si>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</si>
  <si>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</si>
  <si>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</si>
  <si>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</si>
  <si>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</si>
  <si>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</si>
  <si>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</si>
  <si>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</si>
  <si>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</si>
  <si>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</si>
  <si>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</si>
  <si>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</si>
  <si>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</si>
  <si>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</si>
  <si>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</si>
  <si>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</si>
  <si>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</si>
  <si>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</si>
  <si>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</si>
  <si>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</si>
  <si>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</si>
  <si>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</si>
  <si>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</si>
  <si>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</si>
  <si>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</si>
  <si>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</si>
  <si>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</si>
  <si>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</si>
  <si>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</si>
  <si>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</si>
  <si>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</si>
  <si>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</si>
  <si>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</si>
  <si>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</si>
  <si>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</si>
  <si>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</si>
  <si>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</si>
  <si>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</si>
  <si>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</si>
  <si>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</si>
  <si>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</si>
  <si>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</si>
  <si>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</si>
  <si>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</si>
  <si>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</si>
  <si>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</si>
  <si>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</si>
  <si>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</si>
  <si>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</si>
  <si>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</si>
  <si>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</si>
  <si>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</si>
  <si>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</si>
  <si>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</si>
  <si>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</si>
  <si>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</si>
  <si>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</si>
  <si>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</si>
  <si>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</si>
  <si>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</si>
  <si>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</si>
  <si>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</si>
  <si>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</si>
  <si>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</si>
  <si>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</si>
  <si>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</si>
  <si>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</si>
  <si>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</si>
  <si>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</si>
  <si>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</si>
  <si>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</si>
  <si>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</si>
  <si>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</si>
  <si>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</si>
  <si>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</si>
  <si>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</si>
  <si>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</si>
  <si>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</si>
  <si>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</si>
  <si>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</si>
  <si>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</si>
  <si>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</si>
  <si>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</si>
  <si>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</si>
  <si>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</si>
  <si>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</si>
  <si>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</si>
  <si>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</si>
  <si>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</si>
  <si>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</si>
  <si>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</si>
  <si>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</si>
  <si>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</si>
  <si>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</si>
  <si>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</si>
  <si>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</si>
  <si>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</si>
  <si>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</si>
  <si>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</si>
  <si>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</si>
  <si>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</si>
  <si>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</si>
  <si>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</si>
  <si>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</si>
  <si>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</si>
  <si>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</si>
  <si>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</si>
  <si>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</si>
  <si>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</si>
  <si>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</si>
  <si>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</si>
  <si>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</si>
  <si>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</si>
  <si>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</si>
  <si>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</si>
  <si>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</si>
  <si>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</si>
  <si>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</si>
  <si>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</si>
  <si>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</si>
  <si>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</si>
  <si>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</si>
  <si>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</si>
  <si>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</si>
  <si>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</si>
  <si>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</si>
  <si>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</si>
  <si>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</si>
  <si>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</si>
  <si>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</si>
  <si>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</si>
  <si>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</si>
  <si>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</si>
  <si>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</si>
  <si>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</si>
  <si>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</si>
  <si>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</si>
  <si>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</si>
  <si>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</si>
  <si>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</si>
  <si>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</si>
  <si>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</si>
  <si>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</si>
  <si>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</si>
  <si>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</si>
  <si>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</si>
  <si>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</si>
  <si>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</si>
  <si>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</si>
  <si>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</si>
  <si>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</si>
  <si>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</si>
  <si>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</si>
  <si>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</si>
  <si>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</si>
  <si>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</si>
  <si>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</si>
  <si>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</si>
  <si>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</si>
  <si>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</si>
  <si>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</si>
  <si>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</si>
  <si>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</si>
  <si>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</si>
  <si>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</si>
  <si>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</si>
  <si>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</si>
  <si>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</si>
  <si>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</si>
  <si>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</si>
  <si>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</si>
  <si>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</si>
  <si>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</si>
  <si>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</si>
  <si>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</si>
  <si>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</si>
  <si>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</si>
  <si>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</si>
  <si>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</si>
  <si>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</si>
  <si>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</si>
  <si>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</si>
  <si>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</si>
  <si>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</si>
  <si>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</si>
  <si>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</si>
  <si>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</si>
  <si>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</si>
  <si>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</si>
  <si>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</si>
  <si>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</si>
  <si>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</si>
  <si>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</si>
  <si>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</si>
  <si>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</si>
  <si>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</si>
  <si>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</si>
  <si>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</si>
  <si>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</si>
  <si>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</si>
  <si>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</si>
  <si>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</si>
  <si>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</si>
  <si>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</si>
  <si>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</si>
  <si>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</si>
  <si>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</si>
  <si>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</si>
  <si>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</si>
  <si>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</si>
  <si>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</si>
  <si>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</si>
  <si>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</si>
  <si>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</si>
  <si>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</si>
  <si>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</si>
  <si>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</si>
  <si>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</si>
  <si>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</si>
  <si>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</si>
  <si>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</si>
  <si>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</si>
  <si>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</si>
  <si>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</si>
  <si>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</si>
  <si>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</si>
  <si>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</si>
  <si>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</si>
  <si>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</si>
  <si>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</si>
  <si>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</si>
  <si>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</si>
  <si>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</si>
  <si>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</si>
  <si>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</si>
  <si>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</si>
  <si>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</si>
  <si>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</si>
  <si>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</si>
  <si>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</si>
  <si>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</si>
  <si>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</si>
  <si>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</si>
  <si>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</si>
  <si>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</si>
  <si>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</si>
  <si>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</si>
  <si>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</si>
  <si>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</si>
  <si>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</si>
  <si>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</si>
  <si>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</si>
  <si>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</si>
  <si>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</si>
  <si>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</si>
  <si>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</si>
  <si>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</si>
  <si>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</si>
  <si>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</si>
  <si>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</si>
  <si>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</si>
  <si>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</si>
  <si>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</si>
  <si>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</si>
  <si>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</si>
  <si>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</si>
  <si>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</si>
  <si>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</si>
  <si>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</si>
  <si>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</si>
  <si>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</si>
  <si>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</si>
  <si>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</si>
  <si>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</si>
  <si>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</si>
  <si>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</si>
  <si>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</si>
  <si>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</si>
  <si>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</si>
  <si>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</si>
  <si>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</si>
  <si>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</si>
  <si>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</si>
  <si>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</si>
  <si>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</si>
  <si>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</si>
  <si>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</si>
  <si>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</si>
  <si>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</si>
  <si>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</si>
  <si>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</si>
  <si>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</si>
  <si>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</si>
  <si>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</si>
  <si>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</si>
  <si>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</si>
  <si>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</si>
  <si>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</si>
  <si>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</si>
  <si>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</si>
  <si>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</si>
  <si>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</si>
  <si>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</si>
  <si>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</si>
  <si>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</si>
  <si>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</si>
  <si>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</si>
  <si>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</si>
  <si>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</si>
  <si>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</si>
  <si>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</si>
  <si>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</si>
  <si>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</si>
  <si>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</si>
  <si>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</si>
  <si>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</si>
  <si>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</si>
  <si>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</si>
  <si>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</si>
  <si>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</si>
  <si>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</si>
  <si>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</si>
  <si>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</si>
  <si>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</si>
  <si>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</si>
  <si>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</si>
  <si>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</si>
  <si>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</si>
  <si>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</si>
  <si>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</si>
  <si>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</si>
  <si>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</si>
  <si>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</si>
  <si>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</si>
  <si>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</si>
  <si>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</si>
  <si>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</si>
  <si>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</si>
  <si>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</si>
  <si>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</si>
  <si>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</si>
  <si>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</si>
  <si>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</si>
  <si>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</si>
  <si>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</si>
  <si>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</si>
  <si>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</si>
  <si>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</si>
  <si>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</si>
  <si>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</si>
  <si>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</si>
  <si>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</si>
  <si>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</si>
  <si>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</si>
  <si>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</si>
  <si>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</si>
  <si>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</si>
  <si>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</si>
  <si>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</si>
  <si>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</si>
  <si>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</si>
  <si>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</si>
  <si>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</si>
  <si>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</si>
  <si>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</si>
  <si>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</si>
  <si>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</si>
  <si>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</si>
  <si>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</si>
  <si>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</si>
  <si>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</si>
  <si>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</si>
  <si>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</si>
  <si>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</si>
  <si>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</si>
  <si>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</si>
  <si>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</si>
  <si>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</si>
  <si>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</si>
  <si>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</si>
  <si>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</si>
  <si>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</si>
  <si>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</si>
  <si>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</si>
  <si>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</si>
  <si>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</si>
  <si>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</si>
  <si>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</si>
  <si>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</si>
  <si>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</si>
  <si>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</si>
  <si>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</si>
  <si>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</si>
  <si>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</si>
  <si>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</si>
  <si>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</si>
  <si>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</si>
  <si>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</si>
  <si>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</si>
  <si>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</si>
  <si>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</si>
  <si>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</si>
  <si>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</si>
  <si>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</si>
  <si>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</si>
  <si>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</si>
  <si>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</si>
  <si>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</si>
  <si>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</si>
  <si>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</si>
  <si>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</si>
  <si>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</si>
  <si>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</si>
  <si>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</si>
  <si>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</si>
  <si>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</si>
  <si>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</si>
  <si>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</si>
  <si>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</si>
  <si>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</si>
  <si>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</si>
  <si>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</si>
  <si>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</si>
  <si>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</si>
  <si>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</si>
  <si>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</si>
  <si>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</si>
  <si>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</si>
  <si>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</si>
  <si>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</si>
  <si>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</si>
  <si>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</si>
  <si>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</si>
  <si>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</si>
  <si>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</si>
  <si>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</si>
  <si>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</si>
  <si>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</si>
  <si>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</si>
  <si>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</si>
  <si>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</si>
  <si>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</si>
  <si>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</si>
  <si>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</si>
  <si>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</si>
  <si>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</si>
  <si>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</si>
  <si>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</si>
  <si>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</si>
  <si>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</si>
  <si>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</si>
  <si>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</si>
  <si>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</si>
  <si>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</si>
  <si>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</si>
  <si>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</si>
  <si>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</si>
  <si>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</si>
  <si>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</si>
  <si>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</si>
  <si>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</si>
  <si>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</si>
  <si>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</si>
  <si>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</si>
  <si>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</si>
  <si>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</si>
  <si>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</si>
  <si>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</si>
  <si>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</si>
  <si>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</si>
  <si>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</si>
  <si>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</si>
  <si>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</si>
  <si>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</si>
  <si>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</si>
  <si>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</si>
  <si>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</si>
  <si>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</si>
  <si>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</si>
  <si>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</si>
  <si>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</si>
  <si>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</si>
  <si>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</si>
  <si>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</si>
  <si>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</si>
  <si>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</si>
  <si>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</si>
  <si>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</si>
  <si>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</si>
  <si>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</si>
  <si>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</si>
  <si>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</si>
  <si>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</si>
  <si>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</si>
  <si>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</si>
  <si>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</si>
  <si>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</si>
  <si>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</si>
  <si>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</si>
  <si>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</si>
  <si>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</si>
  <si>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</si>
  <si>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</si>
  <si>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</si>
  <si>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</si>
  <si>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</si>
  <si>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</si>
  <si>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</si>
  <si>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</si>
  <si>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</si>
  <si>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</si>
  <si>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</si>
  <si>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</si>
  <si>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</si>
  <si>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</si>
  <si>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</si>
  <si>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</si>
  <si>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</si>
  <si>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</si>
  <si>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</si>
  <si>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</si>
  <si>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</si>
  <si>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</si>
  <si>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</si>
  <si>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</si>
  <si>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</si>
  <si>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</si>
  <si>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</si>
  <si>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</si>
  <si>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</si>
  <si>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</si>
  <si>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</si>
  <si>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</si>
  <si>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</si>
  <si>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</si>
  <si>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</si>
  <si>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</si>
  <si>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</si>
  <si>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</si>
  <si>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</si>
  <si>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</si>
  <si>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</si>
  <si>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</si>
  <si>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</si>
  <si>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</si>
  <si>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</si>
  <si>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</si>
  <si>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</si>
  <si>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</si>
  <si>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</si>
  <si>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</si>
  <si>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</si>
  <si>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</si>
  <si>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</si>
  <si>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</si>
  <si>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</si>
  <si>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</si>
  <si>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</si>
  <si>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</si>
  <si>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</si>
  <si>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</si>
  <si>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</si>
  <si>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</si>
  <si>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</si>
  <si>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</si>
  <si>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</si>
  <si>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</si>
  <si>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</si>
  <si>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</si>
  <si>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</si>
  <si>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</si>
  <si>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</si>
  <si>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</si>
  <si>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</si>
  <si>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</si>
  <si>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</si>
  <si>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</si>
  <si>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</si>
  <si>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</si>
  <si>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</si>
  <si>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</si>
  <si>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</si>
  <si>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</si>
  <si>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</si>
  <si>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</si>
  <si>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</si>
  <si>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</si>
  <si>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</si>
  <si>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</si>
  <si>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</si>
  <si>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</si>
  <si>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</si>
  <si>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</si>
  <si>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</si>
  <si>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</si>
  <si>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</si>
  <si>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</si>
  <si>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</si>
  <si>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</si>
  <si>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</si>
  <si>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</si>
  <si>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</si>
  <si>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</si>
  <si>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</si>
  <si>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</si>
  <si>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</si>
  <si>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</si>
  <si>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</si>
  <si>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</si>
  <si>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</si>
  <si>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</si>
  <si>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</si>
  <si>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</si>
  <si>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</si>
  <si>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</si>
  <si>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</si>
  <si>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</si>
  <si>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</si>
  <si>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</si>
  <si>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</si>
  <si>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</si>
  <si>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</si>
  <si>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</si>
  <si>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</si>
  <si>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</si>
  <si>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</si>
  <si>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</si>
  <si>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</si>
  <si>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</si>
  <si>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</si>
  <si>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</si>
  <si>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</si>
  <si>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</si>
  <si>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</si>
  <si>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</si>
  <si>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</si>
  <si>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</si>
  <si>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</si>
  <si>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</si>
  <si>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</si>
  <si>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</si>
  <si>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</si>
  <si>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</si>
  <si>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</si>
  <si>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</si>
  <si>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</si>
  <si>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</si>
  <si>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</si>
  <si>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</si>
  <si>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</si>
  <si>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</si>
  <si>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</si>
  <si>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</si>
  <si>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</si>
  <si>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</si>
  <si>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</si>
  <si>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</si>
  <si>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</si>
  <si>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</si>
  <si>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</si>
  <si>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</si>
  <si>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</si>
  <si>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</si>
  <si>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</si>
  <si>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</si>
  <si>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</si>
  <si>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</si>
  <si>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</si>
  <si>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</si>
  <si>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</si>
  <si>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</si>
  <si>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</si>
  <si>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</si>
  <si>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</si>
  <si>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</si>
  <si>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</si>
  <si>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</si>
  <si>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</si>
  <si>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</si>
  <si>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</si>
  <si>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</si>
  <si>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</si>
  <si>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</si>
  <si>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</si>
  <si>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</si>
  <si>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</si>
  <si>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</si>
  <si>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</si>
  <si>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</si>
  <si>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</si>
  <si>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</si>
  <si>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</si>
  <si>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</si>
  <si>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</si>
  <si>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</si>
  <si>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</si>
  <si>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</si>
  <si>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</si>
  <si>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</si>
  <si>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</si>
  <si>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</si>
  <si>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</si>
  <si>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</si>
  <si>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</si>
  <si>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</si>
  <si>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</si>
  <si>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</si>
  <si>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</si>
  <si>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</si>
  <si>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</si>
  <si>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</si>
  <si>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</si>
  <si>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</si>
  <si>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</si>
  <si>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</si>
  <si>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</si>
  <si>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</si>
  <si>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</si>
  <si>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</si>
  <si>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</si>
  <si>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</si>
  <si>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</si>
  <si>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</si>
  <si>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</si>
  <si>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</si>
  <si>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</si>
  <si>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</si>
  <si>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</si>
  <si>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</si>
  <si>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</si>
  <si>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</si>
  <si>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</si>
  <si>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</si>
  <si>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</si>
  <si>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</si>
  <si>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</si>
  <si>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</si>
  <si>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</si>
  <si>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</si>
  <si>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</si>
  <si>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</si>
  <si>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</si>
  <si>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</si>
  <si>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</si>
  <si>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</si>
  <si>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</si>
  <si>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</si>
  <si>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</si>
  <si>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</si>
  <si>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</si>
  <si>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</si>
  <si>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</si>
  <si>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</si>
  <si>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</si>
  <si>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</si>
  <si>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</si>
  <si>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</si>
  <si>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</si>
  <si>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</si>
  <si>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</si>
  <si>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</si>
  <si>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</si>
  <si>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</si>
  <si>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</si>
  <si>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</si>
  <si>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</si>
  <si>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</si>
  <si>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</si>
  <si>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</si>
  <si>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</si>
  <si>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</si>
  <si>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</si>
  <si>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</si>
  <si>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</si>
  <si>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</si>
  <si>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</si>
  <si>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</si>
  <si>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</si>
  <si>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</si>
  <si>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</si>
  <si>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</si>
  <si>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</si>
  <si>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</si>
  <si>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</si>
  <si>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</si>
  <si>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</si>
  <si>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</si>
  <si>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</si>
  <si>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</si>
  <si>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</si>
  <si>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</si>
  <si>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</si>
  <si>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</si>
  <si>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</si>
  <si>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</si>
  <si>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</si>
  <si>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</si>
  <si>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</si>
  <si>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</si>
  <si>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</si>
  <si>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</si>
  <si>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</si>
  <si>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</si>
  <si>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</si>
  <si>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</si>
  <si>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</si>
  <si>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</si>
  <si>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</si>
  <si>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</si>
  <si>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</si>
  <si>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</si>
  <si>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</si>
  <si>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</si>
  <si>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</si>
  <si>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</si>
  <si>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</si>
  <si>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</si>
  <si>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</si>
  <si>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</si>
  <si>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</si>
  <si>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</si>
  <si>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</si>
  <si>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</si>
  <si>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</si>
  <si>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</si>
  <si>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</si>
  <si>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</si>
  <si>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</si>
  <si>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</si>
  <si>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</si>
  <si>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</si>
  <si>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</si>
  <si>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</si>
  <si>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</si>
  <si>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</si>
  <si>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</si>
  <si>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</si>
  <si>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</si>
  <si>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</si>
  <si>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</si>
  <si>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</si>
  <si>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</si>
  <si>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</si>
  <si>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</si>
  <si>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</si>
  <si>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</si>
  <si>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</si>
  <si>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</si>
  <si>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</si>
  <si>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</si>
  <si>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</si>
  <si>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</si>
  <si>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</si>
  <si>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</si>
  <si>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</si>
  <si>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</si>
  <si>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</si>
  <si>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</si>
  <si>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</si>
  <si>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</si>
  <si>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</si>
  <si>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</si>
  <si>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</si>
  <si>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</si>
  <si>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</si>
  <si>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</si>
  <si>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</si>
  <si>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</si>
  <si>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</si>
  <si>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</si>
  <si>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</si>
  <si>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</si>
  <si>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</si>
  <si>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</si>
  <si>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</si>
  <si>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</si>
  <si>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</si>
  <si>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</si>
  <si>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</si>
  <si>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</si>
  <si>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</si>
  <si>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</si>
  <si>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</si>
  <si>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</si>
  <si>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</si>
  <si>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</si>
  <si>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</si>
  <si>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</si>
  <si>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</si>
  <si>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</si>
  <si>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</si>
  <si>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</si>
  <si>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</si>
  <si>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</si>
  <si>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</si>
  <si>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</si>
  <si>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</si>
  <si>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</si>
  <si>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</si>
  <si>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</si>
  <si>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</si>
  <si>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</si>
  <si>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</si>
  <si>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</si>
  <si>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</si>
  <si>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</si>
  <si>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</si>
  <si>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</si>
  <si>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</si>
  <si>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</si>
  <si>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</si>
  <si>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</si>
  <si>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</si>
  <si>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</si>
  <si>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</si>
  <si>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</si>
  <si>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</si>
  <si>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</si>
  <si>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</si>
  <si>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</si>
  <si>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</si>
  <si>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</si>
  <si>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</si>
  <si>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</si>
  <si>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</si>
  <si>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</si>
  <si>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</si>
  <si>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</si>
  <si>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</si>
  <si>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</si>
  <si>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</si>
  <si>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</si>
  <si>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</si>
  <si>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</si>
  <si>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</si>
  <si>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</si>
  <si>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</si>
  <si>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</si>
  <si>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</si>
  <si>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</si>
  <si>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</si>
  <si>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</si>
  <si>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</si>
  <si>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</si>
  <si>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</si>
  <si>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</si>
  <si>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</si>
  <si>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</si>
  <si>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</si>
  <si>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</si>
  <si>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</si>
  <si>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</si>
  <si>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</si>
  <si>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</si>
  <si>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</si>
  <si>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</si>
  <si>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</si>
  <si>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</si>
  <si>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</si>
  <si>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</si>
  <si>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</si>
  <si>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</si>
  <si>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</si>
  <si>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</si>
  <si>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</si>
  <si>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</si>
  <si>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</si>
  <si>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</si>
  <si>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</si>
  <si>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</si>
  <si>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</si>
  <si>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</si>
  <si>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</si>
  <si>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</si>
  <si>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</si>
  <si>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</si>
  <si>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</si>
  <si>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</si>
  <si>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</si>
  <si>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</si>
  <si>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</si>
  <si>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</si>
  <si>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</si>
  <si>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</si>
  <si>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</si>
  <si>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</si>
  <si>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</si>
  <si>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</si>
  <si>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</si>
  <si>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</si>
  <si>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</si>
  <si>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</si>
  <si>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</si>
  <si>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</si>
  <si>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</si>
  <si>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</si>
  <si>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</si>
  <si>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</si>
  <si>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</si>
  <si>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</si>
  <si>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</si>
  <si>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</si>
  <si>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</si>
  <si>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</si>
  <si>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</si>
  <si>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</si>
  <si>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</si>
  <si>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</si>
  <si>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</si>
  <si>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</si>
  <si>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</si>
  <si>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</si>
  <si>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</si>
  <si>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</si>
  <si>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</si>
  <si>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</si>
  <si>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</si>
  <si>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</si>
  <si>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</si>
  <si>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</si>
  <si>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</si>
  <si>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</si>
  <si>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</si>
  <si>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</si>
  <si>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</si>
  <si>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</si>
  <si>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</si>
  <si>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</si>
  <si>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</si>
  <si>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</si>
  <si>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</si>
  <si>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</si>
  <si>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</si>
  <si>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</si>
  <si>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</si>
  <si>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</si>
  <si>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</si>
  <si>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</si>
  <si>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</si>
  <si>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</si>
  <si>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</si>
  <si>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</si>
  <si>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</si>
  <si>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</si>
  <si>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</si>
  <si>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</si>
  <si>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</si>
  <si>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</si>
  <si>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</si>
  <si>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</si>
  <si>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</si>
  <si>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</si>
  <si>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</si>
  <si>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</si>
  <si>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</si>
  <si>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</si>
  <si>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</si>
  <si>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</si>
  <si>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</si>
  <si>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</si>
  <si>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</si>
  <si>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</si>
  <si>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</si>
  <si>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</si>
  <si>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</si>
  <si>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</si>
  <si>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</si>
  <si>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</si>
  <si>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</si>
  <si>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</si>
  <si>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</si>
  <si>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</si>
  <si>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</si>
  <si>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</si>
  <si>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</si>
  <si>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</si>
  <si>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</si>
  <si>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</si>
  <si>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</si>
  <si>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</si>
  <si>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</si>
  <si>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</si>
  <si>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</si>
  <si>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</si>
  <si>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</si>
  <si>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</si>
  <si>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</si>
  <si>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</si>
  <si>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</si>
  <si>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</si>
  <si>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</si>
  <si>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</si>
  <si>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</si>
  <si>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</si>
  <si>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</si>
  <si>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</si>
  <si>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</si>
  <si>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</si>
  <si>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</si>
  <si>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</si>
  <si>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</si>
  <si>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</si>
  <si>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</si>
  <si>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</si>
  <si>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</si>
  <si>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</si>
  <si>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</si>
  <si>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</si>
  <si>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</si>
  <si>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</si>
  <si>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</si>
  <si>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</si>
  <si>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</si>
  <si>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</si>
  <si>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</si>
  <si>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</si>
  <si>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</si>
  <si>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</si>
  <si>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</si>
  <si>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</si>
  <si>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</si>
  <si>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</si>
  <si>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</si>
  <si>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</si>
  <si>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</si>
  <si>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</si>
  <si>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</si>
  <si>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</si>
  <si>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</si>
  <si>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</si>
  <si>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</si>
  <si>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</si>
  <si>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</si>
  <si>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</si>
  <si>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</si>
  <si>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</si>
  <si>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</si>
  <si>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</si>
  <si>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</si>
  <si>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</si>
  <si>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</si>
  <si>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</si>
  <si>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</si>
  <si>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</si>
  <si>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</si>
  <si>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</si>
  <si>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</si>
  <si>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</si>
  <si>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</si>
  <si>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</si>
  <si>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</si>
  <si>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</si>
  <si>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</si>
  <si>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</si>
  <si>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</si>
  <si>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</si>
  <si>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</si>
  <si>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</si>
  <si>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</si>
  <si>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</si>
  <si>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</si>
  <si>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</si>
  <si>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</si>
  <si>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</si>
  <si>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</si>
  <si>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</si>
  <si>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</si>
  <si>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</si>
  <si>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</si>
  <si>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</si>
  <si>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</si>
  <si>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</si>
  <si>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</si>
  <si>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</si>
  <si>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</si>
  <si>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</si>
  <si>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</si>
  <si>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</si>
  <si>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</si>
  <si>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</si>
  <si>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</si>
  <si>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</si>
  <si>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</si>
  <si>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</si>
  <si>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</si>
  <si>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</si>
  <si>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</si>
  <si>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</si>
  <si>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</si>
  <si>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</si>
  <si>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</si>
  <si>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</si>
  <si>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</si>
  <si>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</si>
  <si>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</si>
  <si>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</si>
  <si>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</si>
  <si>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</si>
  <si>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</si>
  <si>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</si>
  <si>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</si>
  <si>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</si>
  <si>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</si>
  <si>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</si>
  <si>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</si>
  <si>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</si>
  <si>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</si>
  <si>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</si>
  <si>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</si>
  <si>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</si>
  <si>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</si>
  <si>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</si>
  <si>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</si>
  <si>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</si>
  <si>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</si>
  <si>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</si>
  <si>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</si>
  <si>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</si>
  <si>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</si>
  <si>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</si>
  <si>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</si>
  <si>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</si>
  <si>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</si>
  <si>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</si>
  <si>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</si>
  <si>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</si>
  <si>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</si>
  <si>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</si>
  <si>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</si>
  <si>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</si>
  <si>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</si>
  <si>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</si>
  <si>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</si>
  <si>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</si>
  <si>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</si>
  <si>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</si>
  <si>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</si>
  <si>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</si>
  <si>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</si>
  <si>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</si>
  <si>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</si>
  <si>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</si>
  <si>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</si>
  <si>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</si>
  <si>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</si>
  <si>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</si>
  <si>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</si>
  <si>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</si>
  <si>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</si>
  <si>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</si>
  <si>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</si>
  <si>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</si>
  <si>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</si>
  <si>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</si>
  <si>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</si>
  <si>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</si>
  <si>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</si>
  <si>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</si>
  <si>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</si>
  <si>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</si>
  <si>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</si>
  <si>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</si>
  <si>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</si>
  <si>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</si>
  <si>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</si>
  <si>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</si>
  <si>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</si>
  <si>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</si>
  <si>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</si>
  <si>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</si>
  <si>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</si>
  <si>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</si>
  <si>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</si>
  <si>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</si>
  <si>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</si>
  <si>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</si>
  <si>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</si>
  <si>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</si>
  <si>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</si>
  <si>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</si>
  <si>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</si>
  <si>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</si>
  <si>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</si>
  <si>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</si>
  <si>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</si>
  <si>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</si>
  <si>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</si>
  <si>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</si>
  <si>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</si>
  <si>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</si>
  <si>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</si>
  <si>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</si>
  <si>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</si>
  <si>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</si>
  <si>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</si>
  <si>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</si>
  <si>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</si>
  <si>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</si>
  <si>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</si>
  <si>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</si>
  <si>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</si>
  <si>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</si>
  <si>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</si>
  <si>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</si>
  <si>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</si>
  <si>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</si>
  <si>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</si>
  <si>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</si>
  <si>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</si>
  <si>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</si>
  <si>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</si>
  <si>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</si>
  <si>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</si>
  <si>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</si>
  <si>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</si>
  <si>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</si>
  <si>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</si>
  <si>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</si>
  <si>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</si>
  <si>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</si>
  <si>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</si>
  <si>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</si>
  <si>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</si>
  <si>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</si>
  <si>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</si>
  <si>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</si>
  <si>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</si>
  <si>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</si>
  <si>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</si>
  <si>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</si>
  <si>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</si>
  <si>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</si>
  <si>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</si>
  <si>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</si>
  <si>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Average Profit</t>
  </si>
  <si>
    <t>Total Sum of Expenses</t>
  </si>
  <si>
    <t>Total Sum of Revenue</t>
  </si>
  <si>
    <t>Total Total Profit</t>
  </si>
  <si>
    <t>Total Average Profit</t>
  </si>
  <si>
    <t>Values</t>
  </si>
  <si>
    <t>(All)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</si>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</sst>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48"/>
      <color rgb="FF00B0F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0" xfId="0" applyFont="1"/>
    <xf numFmtId="0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</cellXfs>
  <cellStyles count="1">
    <cellStyle name="Normal" xfId="0" builtinId="0"/>
  </cellStyles>
  <dxfs count="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 Column Chart!PivotTable3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layout>
        <c:manualLayout>
          <c:xMode val="edge"/>
          <c:yMode val="edge"/>
          <c:x val="0.20846392674765166"/>
          <c:y val="1.192044592401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65873823251021"/>
          <c:y val="0.18846528051923023"/>
          <c:w val="0.75869293755517808"/>
          <c:h val="0.6912933577462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 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 Column Chart'!$B$4:$B$8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F-4D72-B362-AE819AAE1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36341615"/>
        <c:axId val="844679119"/>
      </c:barChart>
      <c:catAx>
        <c:axId val="93634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79119"/>
        <c:crosses val="autoZero"/>
        <c:auto val="1"/>
        <c:lblAlgn val="ctr"/>
        <c:lblOffset val="100"/>
        <c:noMultiLvlLbl val="0"/>
      </c:catAx>
      <c:valAx>
        <c:axId val="844679119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9363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 Bar Chart!PivotTable4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295114439499955"/>
          <c:y val="0.1265571823539553"/>
          <c:w val="0.82348507835966223"/>
          <c:h val="0.81861580015304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 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 Bar Chart'!$B$4:$B$9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D-4E5A-A2F9-CE73302CF6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1309470799"/>
        <c:axId val="1304792591"/>
      </c:barChart>
      <c:catAx>
        <c:axId val="1309470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92591"/>
        <c:crosses val="autoZero"/>
        <c:auto val="1"/>
        <c:lblAlgn val="ctr"/>
        <c:lblOffset val="100"/>
        <c:noMultiLvlLbl val="0"/>
      </c:catAx>
      <c:valAx>
        <c:axId val="130479259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094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 Pie Chart!PivotTable7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Expense by Department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 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D6A-4CFC-AB0F-FDBC100EA20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D6A-4CFC-AB0F-FDBC100EA20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D6A-4CFC-AB0F-FDBC100EA20A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D6A-4CFC-AB0F-FDBC100EA20A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D6A-4CFC-AB0F-FDBC100EA20A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D6A-4CFC-AB0F-FDBC100EA20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D6A-4CFC-AB0F-FDBC100EA20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D6A-4CFC-AB0F-FDBC100EA20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D6A-4CFC-AB0F-FDBC100EA20A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D6A-4CFC-AB0F-FDBC100EA20A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3D6A-4CFC-AB0F-FDBC100EA20A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3D6A-4CFC-AB0F-FDBC100EA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5 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 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6A-4CFC-AB0F-FDBC100EA20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412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 Line Chart!PivotTable5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rgbClr val="FF0000"/>
                </a:solidFill>
                <a:latin typeface="Bell MT" panose="02020503060305020303" pitchFamily="18" charset="0"/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 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B3-48F5-BA00-D4812CB06C6D}"/>
            </c:ext>
          </c:extLst>
        </c:ser>
        <c:ser>
          <c:idx val="1"/>
          <c:order val="1"/>
          <c:tx>
            <c:strRef>
              <c:f>'Pivot 3 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B3-48F5-BA00-D4812CB06C6D}"/>
            </c:ext>
          </c:extLst>
        </c:ser>
        <c:ser>
          <c:idx val="2"/>
          <c:order val="2"/>
          <c:tx>
            <c:strRef>
              <c:f>'Pivot 3 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B3-48F5-BA00-D4812CB06C6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4676431"/>
        <c:axId val="1304743631"/>
      </c:lineChart>
      <c:catAx>
        <c:axId val="184467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tx1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4743631"/>
        <c:crosses val="autoZero"/>
        <c:auto val="1"/>
        <c:lblAlgn val="ctr"/>
        <c:lblOffset val="100"/>
        <c:noMultiLvlLbl val="0"/>
      </c:catAx>
      <c:valAx>
        <c:axId val="130474363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84467643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[Excel+Report+1+Data.xlsx]Pivot 4 Area Chart!PivotTable6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2000" b="1" i="1" u="sng">
                <a:solidFill>
                  <a:srgbClr val="FF0000"/>
                </a:solidFill>
                <a:latin typeface="Aptos" panose="020B0004020202020204" pitchFamily="34" charset="0"/>
              </a:rPr>
              <a:t>Number of Transactions by Region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rgbClr val="FF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0467908868605927E-2"/>
              <c:y val="-0.28908279388315788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861628695251864E-3"/>
              <c:y val="-0.29153264806860835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8547791564777608E-2"/>
              <c:y val="-0.2890827938831577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8.4308143476262403E-3"/>
              <c:y val="-0.26703410621410334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9132677650535171E-2"/>
              <c:y val="-0.4556728784937910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9132677650535171E-2"/>
              <c:y val="-0.4556728784937910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0467908868605927E-2"/>
              <c:y val="-0.28908279388315788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861628695251864E-3"/>
              <c:y val="-0.29153264806860835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8547791564777608E-2"/>
              <c:y val="-0.2890827938831577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8.4308143476262403E-3"/>
              <c:y val="-0.26703410621410334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9132677650535171E-2"/>
              <c:y val="-0.4556728784937910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0467908868605927E-2"/>
              <c:y val="-0.28908279388315788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861628695251864E-3"/>
              <c:y val="-0.29153264806860835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8547791564777608E-2"/>
              <c:y val="-0.2890827938831577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8.4308143476262403E-3"/>
              <c:y val="-0.26703410621410334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6.9132677650535171E-2"/>
                  <c:y val="-0.455672878493791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F1-414D-B458-751631CFFB82}"/>
                </c:ext>
              </c:extLst>
            </c:dLbl>
            <c:dLbl>
              <c:idx val="1"/>
              <c:layout>
                <c:manualLayout>
                  <c:x val="4.0467908868605927E-2"/>
                  <c:y val="-0.289082793883157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F1-414D-B458-751631CFFB82}"/>
                </c:ext>
              </c:extLst>
            </c:dLbl>
            <c:dLbl>
              <c:idx val="2"/>
              <c:layout>
                <c:manualLayout>
                  <c:x val="1.6861628695251864E-3"/>
                  <c:y val="-0.291532648068608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F1-414D-B458-751631CFFB82}"/>
                </c:ext>
              </c:extLst>
            </c:dLbl>
            <c:dLbl>
              <c:idx val="3"/>
              <c:layout>
                <c:manualLayout>
                  <c:x val="1.8547791564777608E-2"/>
                  <c:y val="-0.289082793883157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F1-414D-B458-751631CFFB82}"/>
                </c:ext>
              </c:extLst>
            </c:dLbl>
            <c:dLbl>
              <c:idx val="4"/>
              <c:layout>
                <c:manualLayout>
                  <c:x val="8.4308143476262403E-3"/>
                  <c:y val="-0.267034106214103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F1-414D-B458-751631CFFB82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 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 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F1-414D-B458-751631CF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50784"/>
        <c:axId val="1304773871"/>
      </c:areaChart>
      <c:catAx>
        <c:axId val="269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04773871"/>
        <c:crosses val="autoZero"/>
        <c:auto val="1"/>
        <c:lblAlgn val="ctr"/>
        <c:lblOffset val="100"/>
        <c:noMultiLvlLbl val="0"/>
      </c:catAx>
      <c:valAx>
        <c:axId val="1304773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95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63500" cap="sq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1 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Payment Methods</a:t>
            </a:r>
          </a:p>
        </c:rich>
      </c:tx>
      <c:layout>
        <c:manualLayout>
          <c:xMode val="edge"/>
          <c:yMode val="edge"/>
          <c:x val="0.20846392674765166"/>
          <c:y val="1.192044592401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65873823251021"/>
          <c:y val="0.18846528051923023"/>
          <c:w val="0.75869293755517808"/>
          <c:h val="0.6912933577462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 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 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 Column Chart'!$B$4:$B$8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CC-4322-BABE-A121693110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36341615"/>
        <c:axId val="844679119"/>
      </c:barChart>
      <c:catAx>
        <c:axId val="936341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679119"/>
        <c:crosses val="autoZero"/>
        <c:auto val="1"/>
        <c:lblAlgn val="ctr"/>
        <c:lblOffset val="100"/>
        <c:noMultiLvlLbl val="0"/>
      </c:catAx>
      <c:valAx>
        <c:axId val="844679119"/>
        <c:scaling>
          <c:orientation val="minMax"/>
        </c:scaling>
        <c:delete val="1"/>
        <c:axPos val="l"/>
        <c:numFmt formatCode="_(* #,##0_);_(* \(#,##0\);_(* &quot;-&quot;??_);_(@_)" sourceLinked="1"/>
        <c:majorTickMark val="out"/>
        <c:minorTickMark val="none"/>
        <c:tickLblPos val="nextTo"/>
        <c:crossAx val="93634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2 Bar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536006366556591"/>
          <c:y val="0.12655730491696496"/>
          <c:w val="0.82348507835966223"/>
          <c:h val="0.8186158001530474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2 Bar Chart'!$B$3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gradFill>
                      <a:gsLst>
                        <a:gs pos="0">
                          <a:schemeClr val="accent1">
                            <a:lumMod val="5000"/>
                            <a:lumOff val="95000"/>
                          </a:schemeClr>
                        </a:gs>
                        <a:gs pos="74000">
                          <a:schemeClr val="accent1">
                            <a:lumMod val="45000"/>
                            <a:lumOff val="55000"/>
                          </a:schemeClr>
                        </a:gs>
                        <a:gs pos="83000">
                          <a:schemeClr val="accent1">
                            <a:lumMod val="45000"/>
                            <a:lumOff val="55000"/>
                          </a:schemeClr>
                        </a:gs>
                        <a:gs pos="100000">
                          <a:schemeClr val="accent1">
                            <a:lumMod val="30000"/>
                            <a:lumOff val="70000"/>
                          </a:schemeClr>
                        </a:gs>
                      </a:gsLst>
                      <a:lin ang="5400000" scaled="1"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 Bar Chart'!$A$4:$A$9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 Bar Chart'!$B$4:$B$9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6D-4E5A-A2F9-CE73302CF6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1309470799"/>
        <c:axId val="1304792591"/>
      </c:barChart>
      <c:catAx>
        <c:axId val="130947079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92591"/>
        <c:crosses val="autoZero"/>
        <c:auto val="1"/>
        <c:lblAlgn val="ctr"/>
        <c:lblOffset val="100"/>
        <c:noMultiLvlLbl val="0"/>
      </c:catAx>
      <c:valAx>
        <c:axId val="1304792591"/>
        <c:scaling>
          <c:orientation val="minMax"/>
        </c:scaling>
        <c:delete val="1"/>
        <c:axPos val="b"/>
        <c:numFmt formatCode="_(* #,##0_);_(* \(#,##0\);_(* &quot;-&quot;??_);_(@_)" sourceLinked="1"/>
        <c:majorTickMark val="out"/>
        <c:minorTickMark val="none"/>
        <c:tickLblPos val="nextTo"/>
        <c:crossAx val="1309470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3 Line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 i="1" u="sng">
                <a:solidFill>
                  <a:srgbClr val="FF0000"/>
                </a:solidFill>
                <a:latin typeface="Bell MT" panose="02020503060305020303" pitchFamily="18" charset="0"/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 Line Chart'!$B$3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82-4433-87BD-53B2A0768165}"/>
            </c:ext>
          </c:extLst>
        </c:ser>
        <c:ser>
          <c:idx val="1"/>
          <c:order val="1"/>
          <c:tx>
            <c:strRef>
              <c:f>'Pivot 3 Line Chart'!$C$3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82-4433-87BD-53B2A0768165}"/>
            </c:ext>
          </c:extLst>
        </c:ser>
        <c:ser>
          <c:idx val="2"/>
          <c:order val="2"/>
          <c:tx>
            <c:strRef>
              <c:f>'Pivot 3 Line Chart'!$D$3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3 Line Chart'!$A$4:$A$9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 Line Chart'!$D$4:$D$9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82-4433-87BD-53B2A076816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844676431"/>
        <c:axId val="1304743631"/>
      </c:lineChart>
      <c:catAx>
        <c:axId val="184467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solidFill>
            <a:schemeClr val="tx1"/>
          </a:solidFill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FF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04743631"/>
        <c:crosses val="autoZero"/>
        <c:auto val="1"/>
        <c:lblAlgn val="ctr"/>
        <c:lblOffset val="100"/>
        <c:noMultiLvlLbl val="0"/>
      </c:catAx>
      <c:valAx>
        <c:axId val="1304743631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844676431"/>
        <c:crosses val="autoZero"/>
        <c:crossBetween val="between"/>
      </c:valAx>
      <c:spPr>
        <a:solidFill>
          <a:schemeClr val="tx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[Excel+Report+1+Data.xlsx]Pivot 4 Area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1" u="none" strike="noStrike" kern="1200" spc="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2000" b="1" i="1" u="sng">
                <a:solidFill>
                  <a:srgbClr val="FF0000"/>
                </a:solidFill>
                <a:latin typeface="Aptos" panose="020B0004020202020204" pitchFamily="34" charset="0"/>
              </a:rPr>
              <a:t>Number of Transactions by Region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1" u="none" strike="noStrike" kern="1200" spc="0" baseline="0">
              <a:solidFill>
                <a:srgbClr val="FF0000"/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4.0467908868605927E-2"/>
              <c:y val="-0.28908279388315788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6861628695251864E-3"/>
              <c:y val="-0.29153264806860835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1.8547791564777608E-2"/>
              <c:y val="-0.2890827938831577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8.4308143476262403E-3"/>
              <c:y val="-0.26703410621410334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dLbl>
          <c:idx val="0"/>
          <c:layout>
            <c:manualLayout>
              <c:x val="6.9132677650535171E-2"/>
              <c:y val="-0.45567287849379107"/>
            </c:manualLayout>
          </c:layout>
          <c:spPr>
            <a:solidFill>
              <a:sysClr val="windowText" lastClr="000000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 Area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dLbls>
            <c:dLbl>
              <c:idx val="0"/>
              <c:layout>
                <c:manualLayout>
                  <c:x val="6.9132677650535171E-2"/>
                  <c:y val="-0.4556728784937910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317-48EE-9B0E-1E67BA247E3B}"/>
                </c:ext>
              </c:extLst>
            </c:dLbl>
            <c:dLbl>
              <c:idx val="1"/>
              <c:layout>
                <c:manualLayout>
                  <c:x val="4.0467908868605927E-2"/>
                  <c:y val="-0.2890827938831578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17-48EE-9B0E-1E67BA247E3B}"/>
                </c:ext>
              </c:extLst>
            </c:dLbl>
            <c:dLbl>
              <c:idx val="2"/>
              <c:layout>
                <c:manualLayout>
                  <c:x val="1.6861628695251864E-3"/>
                  <c:y val="-0.29153264806860835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17-48EE-9B0E-1E67BA247E3B}"/>
                </c:ext>
              </c:extLst>
            </c:dLbl>
            <c:dLbl>
              <c:idx val="3"/>
              <c:layout>
                <c:manualLayout>
                  <c:x val="1.8547791564777608E-2"/>
                  <c:y val="-0.28908279388315777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317-48EE-9B0E-1E67BA247E3B}"/>
                </c:ext>
              </c:extLst>
            </c:dLbl>
            <c:dLbl>
              <c:idx val="4"/>
              <c:layout>
                <c:manualLayout>
                  <c:x val="8.4308143476262403E-3"/>
                  <c:y val="-0.267034106214103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317-48EE-9B0E-1E67BA247E3B}"/>
                </c:ext>
              </c:extLst>
            </c:dLbl>
            <c:spPr>
              <a:solidFill>
                <a:sysClr val="windowText" lastClr="000000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 Area Chart'!$A$4:$A$9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 Area Chart'!$B$4:$B$9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7-48EE-9B0E-1E67BA247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950784"/>
        <c:axId val="1304773871"/>
      </c:areaChart>
      <c:catAx>
        <c:axId val="269507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FF0000"/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04773871"/>
        <c:crosses val="autoZero"/>
        <c:auto val="1"/>
        <c:lblAlgn val="ctr"/>
        <c:lblOffset val="100"/>
        <c:noMultiLvlLbl val="0"/>
      </c:catAx>
      <c:valAx>
        <c:axId val="130477387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950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63500" cap="sq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[Excel+Report+1+Data.xlsx]Pivot 5 Pie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</a:rPr>
              <a:t>Average Expense by Department</a:t>
            </a:r>
          </a:p>
        </c:rich>
      </c:tx>
      <c:overlay val="0"/>
      <c:spPr>
        <a:solidFill>
          <a:schemeClr val="tx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</a:schemeClr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5 Pie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F63B-442D-A0FA-02A59A7C1B1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F63B-442D-A0FA-02A59A7C1B1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F63B-442D-A0FA-02A59A7C1B1E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F63B-442D-A0FA-02A59A7C1B1E}"/>
              </c:ext>
            </c:extLst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F63B-442D-A0FA-02A59A7C1B1E}"/>
              </c:ext>
            </c:extLst>
          </c:dPt>
          <c:dPt>
            <c:idx val="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F63B-442D-A0FA-02A59A7C1B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5 Pie Chart'!$A$4:$A$10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 Pie Chart'!$B$4:$B$10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3B-442D-A0FA-02A59A7C1B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4127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</xdr:row>
      <xdr:rowOff>9526</xdr:rowOff>
    </xdr:from>
    <xdr:to>
      <xdr:col>5</xdr:col>
      <xdr:colOff>628651</xdr:colOff>
      <xdr:row>29</xdr:row>
      <xdr:rowOff>80964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2B346-FEDB-4592-8E00-AAA7C0791A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642938</xdr:colOff>
      <xdr:row>7</xdr:row>
      <xdr:rowOff>14287</xdr:rowOff>
    </xdr:from>
    <xdr:to>
      <xdr:col>13</xdr:col>
      <xdr:colOff>233363</xdr:colOff>
      <xdr:row>29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36035F-6884-4437-8137-B943EA13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238126</xdr:colOff>
      <xdr:row>7</xdr:row>
      <xdr:rowOff>38100</xdr:rowOff>
    </xdr:from>
    <xdr:to>
      <xdr:col>21</xdr:col>
      <xdr:colOff>185738</xdr:colOff>
      <xdr:row>29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345275-0FD7-4222-B730-4F8EE7298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29</xdr:row>
      <xdr:rowOff>61913</xdr:rowOff>
    </xdr:from>
    <xdr:to>
      <xdr:col>9</xdr:col>
      <xdr:colOff>523875</xdr:colOff>
      <xdr:row>48</xdr:row>
      <xdr:rowOff>104776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11DB9B9-2898-4372-9458-0066AE543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557212</xdr:colOff>
      <xdr:row>29</xdr:row>
      <xdr:rowOff>100012</xdr:rowOff>
    </xdr:from>
    <xdr:to>
      <xdr:col>21</xdr:col>
      <xdr:colOff>219075</xdr:colOff>
      <xdr:row>48</xdr:row>
      <xdr:rowOff>61913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0839D8-ACBA-4DEA-9A66-3742837578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440531</xdr:colOff>
      <xdr:row>1</xdr:row>
      <xdr:rowOff>88105</xdr:rowOff>
    </xdr:from>
    <xdr:to>
      <xdr:col>18</xdr:col>
      <xdr:colOff>9525</xdr:colOff>
      <xdr:row>31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B4FA69-A020-29DC-A593-6F18769E32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245266</xdr:colOff>
      <xdr:row>1</xdr:row>
      <xdr:rowOff>138113</xdr:rowOff>
    </xdr:from>
    <xdr:to>
      <xdr:col>14</xdr:col>
      <xdr:colOff>366711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416C5-3C01-A6D8-656F-4F031ACB9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414336</xdr:colOff>
      <xdr:row>1</xdr:row>
      <xdr:rowOff>26193</xdr:rowOff>
    </xdr:from>
    <xdr:to>
      <xdr:col>17</xdr:col>
      <xdr:colOff>152399</xdr:colOff>
      <xdr:row>26</xdr:row>
      <xdr:rowOff>176213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7B0C41-1DA9-51F9-AEE7-B37AC9CCFA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140494</xdr:colOff>
      <xdr:row>1</xdr:row>
      <xdr:rowOff>11906</xdr:rowOff>
    </xdr:from>
    <xdr:to>
      <xdr:col>13</xdr:col>
      <xdr:colOff>547688</xdr:colOff>
      <xdr:row>29</xdr:row>
      <xdr:rowOff>128588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71369-29BE-3EDA-91DB-E5DCF6D4B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350042</xdr:colOff>
      <xdr:row>3</xdr:row>
      <xdr:rowOff>52388</xdr:rowOff>
    </xdr:from>
    <xdr:to>
      <xdr:col>14</xdr:col>
      <xdr:colOff>80961</xdr:colOff>
      <xdr:row>30</xdr:row>
      <xdr:rowOff>33338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5B3C2-A76F-6F91-74F7-4C836B0C7B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67.808971759259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C98614-AD1B-450C-B5D2-6939DABA37D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s" fieldListSortAscending="1">
  <location ref="A20:F51" firstHeaderRow="0" firstDataRow="1" firstDataCol="2" rowPageCount="1" colPageCount="1"/>
  <pivotFields count="12">
    <pivotField compact="0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compact="0" outline="0" showAll="0"/>
    <pivotField axis="axisRow" compact="0" outline="0" showAll="0">
      <items count="6">
        <item x="4"/>
        <item x="2"/>
        <item x="1"/>
        <item x="3"/>
        <item x="0"/>
        <item t="default"/>
      </items>
    </pivotField>
    <pivotField compact="0" outline="0" showAll="0"/>
    <pivotField axis="axisPage" compact="0" outline="0" multipleItemSelectionAllowed="1" showAll="0">
      <items count="5">
        <item x="1"/>
        <item x="0"/>
        <item x="2"/>
        <item x="3"/>
        <item t="default"/>
      </items>
    </pivotField>
    <pivotField compact="0" numFmtId="9" outline="0" showAll="0"/>
  </pivotFields>
  <rowFields count="2">
    <field x="6"/>
    <field x="8"/>
  </rowFields>
  <rowItems count="31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0" hier="-1"/>
  </pageFields>
  <dataFields count="4">
    <dataField name="Sum of Expenses" fld="3" baseField="0" baseItem="0"/>
    <dataField name="Sum of Revenue" fld="2" baseField="0" baseItem="0"/>
    <dataField name="Total Profit" fld="4" baseField="6" baseItem="4" numFmtId="164"/>
    <dataField name="Average Profit" fld="4" subtotal="average" baseField="6" baseItem="0"/>
  </dataFields>
  <formats count="1">
    <format dxfId="4">
      <pivotArea outline="0" collapsedLevelsAreSubtotals="1" fieldPosition="0"/>
    </format>
  </formats>
  <pivotTableStyleInfo name="PivotStyleDark5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BFF44-93C9-43CC-9AB1-84C3A45A76E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s" fieldListSortAscending="1">
  <location ref="A4:Y12" firstHeaderRow="1" firstDataRow="3" firstDataCol="1" rowPageCount="2" colPageCount="1"/>
  <pivotFields count="12">
    <pivotField compact="0" outline="0" showAll="0"/>
    <pivotField compact="0" numFmtId="14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axis="axisRow" compact="0" outline="0" showAll="0">
      <items count="6">
        <item x="3"/>
        <item x="4"/>
        <item x="0"/>
        <item x="1"/>
        <item x="2"/>
        <item t="default"/>
      </items>
    </pivotField>
    <pivotField axis="axisPage" compact="0" outline="0" showAll="0">
      <items count="7">
        <item x="4"/>
        <item x="0"/>
        <item x="1"/>
        <item x="5"/>
        <item x="2"/>
        <item x="3"/>
        <item t="default"/>
      </items>
    </pivotField>
    <pivotField axis="axisCol" compact="0" outline="0" showAll="0">
      <items count="6">
        <item x="4"/>
        <item x="2"/>
        <item x="1"/>
        <item x="3"/>
        <item x="0"/>
        <item t="default"/>
      </items>
    </pivotField>
    <pivotField axis="axisPage" compact="0" outline="0" multipleItemSelectionAllowed="1" showAll="0">
      <items count="5">
        <item x="1"/>
        <item x="2"/>
        <item x="3"/>
        <item x="0"/>
        <item t="default"/>
      </items>
    </pivotField>
    <pivotField compact="0" outline="0" showAll="0"/>
    <pivotField compact="0" numFmtId="9" outline="0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-2"/>
    <field x="8"/>
  </colFields>
  <colItems count="24">
    <i>
      <x/>
      <x/>
    </i>
    <i r="1">
      <x v="1"/>
    </i>
    <i r="1">
      <x v="2"/>
    </i>
    <i r="1">
      <x v="3"/>
    </i>
    <i r="1">
      <x v="4"/>
    </i>
    <i i="1">
      <x v="1"/>
      <x/>
    </i>
    <i r="1" i="1">
      <x v="1"/>
    </i>
    <i r="1" i="1">
      <x v="2"/>
    </i>
    <i r="1" i="1">
      <x v="3"/>
    </i>
    <i r="1" i="1">
      <x v="4"/>
    </i>
    <i i="2">
      <x v="2"/>
      <x/>
    </i>
    <i r="1" i="2">
      <x v="1"/>
    </i>
    <i r="1" i="2">
      <x v="2"/>
    </i>
    <i r="1" i="2">
      <x v="3"/>
    </i>
    <i r="1" i="2">
      <x v="4"/>
    </i>
    <i i="3">
      <x v="3"/>
      <x/>
    </i>
    <i r="1" i="3">
      <x v="1"/>
    </i>
    <i r="1" i="3">
      <x v="2"/>
    </i>
    <i r="1" i="3">
      <x v="3"/>
    </i>
    <i r="1" i="3">
      <x v="4"/>
    </i>
    <i t="grand">
      <x/>
    </i>
    <i t="grand" i="1">
      <x/>
    </i>
    <i t="grand" i="2">
      <x/>
    </i>
    <i t="grand" i="3">
      <x/>
    </i>
  </colItems>
  <pageFields count="2">
    <pageField fld="9" hier="-1"/>
    <pageField fld="7" hier="-1"/>
  </pageFields>
  <dataFields count="4">
    <dataField name="Sum of Expenses" fld="3" baseField="0" baseItem="0"/>
    <dataField name="Sum of Revenue" fld="2" baseField="0" baseItem="0"/>
    <dataField name="Total Profit" fld="4" baseField="6" baseItem="4" numFmtId="164"/>
    <dataField name="Average Profit" fld="4" subtotal="average" baseField="6" baseItem="0"/>
  </dataFields>
  <formats count="1">
    <format dxfId="5">
      <pivotArea outline="0" collapsedLevelsAreSubtotals="1" fieldPosition="0"/>
    </format>
  </formats>
  <pivotTableStyleInfo name="PivotStyleMedium1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C7F0C-FAC3-472D-A6C2-90686441E926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76F11-F428-4188-A49F-F3E34BDD934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3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E6D791-9238-47CF-A3AD-CAA5031568B6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2AAF3-5ED0-43A2-BC40-88DFDCAF26A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6" baseItem="1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C7AD0-7DB7-4C52-B6F9-AC88B4E0A985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0" baseItem="0" numFmtId="164"/>
  </dataFields>
  <formats count="1">
    <format dxfId="0">
      <pivotArea outline="0" collapsedLevelsAreSubtotals="1" fieldPosition="0"/>
    </format>
  </format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964AD-8AB7-47FE-9004-55A707BA1268}">
  <dimension ref="A1:Y51"/>
  <sheetViews>
    <sheetView topLeftCell="A25" workbookViewId="0">
      <selection activeCell="B3" sqref="B3"/>
    </sheetView>
  </sheetViews>
  <sheetFormatPr defaultRowHeight="14.25" x14ac:dyDescent="0.45"/>
  <cols>
    <col min="1" max="1" width="16.1328125" bestFit="1" customWidth="1"/>
    <col min="2" max="21" width="13.86328125" bestFit="1" customWidth="1"/>
    <col min="22" max="22" width="18.3984375" bestFit="1" customWidth="1"/>
    <col min="23" max="23" width="18" bestFit="1" customWidth="1"/>
    <col min="24" max="24" width="14.1328125" bestFit="1" customWidth="1"/>
    <col min="25" max="25" width="16.53125" bestFit="1" customWidth="1"/>
  </cols>
  <sheetData>
    <row r="1" spans="1:25" x14ac:dyDescent="0.45">
      <c r="A1" s="3" t="s">
        <v>9</v>
      </c>
      <c r="B1" t="s">
        <v>2056</v>
      </c>
    </row>
    <row r="2" spans="1:25" x14ac:dyDescent="0.45">
      <c r="A2" s="3" t="s">
        <v>7</v>
      </c>
      <c r="B2" t="s">
        <v>2056</v>
      </c>
    </row>
    <row r="4" spans="1:25" x14ac:dyDescent="0.45">
      <c r="B4" s="3" t="s">
        <v>2055</v>
      </c>
      <c r="C4" s="3" t="s">
        <v>8</v>
      </c>
    </row>
    <row r="5" spans="1:25" x14ac:dyDescent="0.45">
      <c r="B5" t="s">
        <v>2049</v>
      </c>
      <c r="G5" t="s">
        <v>2048</v>
      </c>
      <c r="L5" t="s">
        <v>2038</v>
      </c>
      <c r="Q5" t="s">
        <v>2050</v>
      </c>
      <c r="V5" t="s">
        <v>2051</v>
      </c>
      <c r="W5" t="s">
        <v>2052</v>
      </c>
      <c r="X5" t="s">
        <v>2053</v>
      </c>
      <c r="Y5" t="s">
        <v>2054</v>
      </c>
    </row>
    <row r="6" spans="1:25" x14ac:dyDescent="0.45">
      <c r="A6" s="3" t="s">
        <v>6</v>
      </c>
      <c r="B6" t="s">
        <v>41</v>
      </c>
      <c r="C6" t="s">
        <v>27</v>
      </c>
      <c r="D6" t="s">
        <v>22</v>
      </c>
      <c r="E6" t="s">
        <v>31</v>
      </c>
      <c r="F6" t="s">
        <v>16</v>
      </c>
      <c r="G6" t="s">
        <v>41</v>
      </c>
      <c r="H6" t="s">
        <v>27</v>
      </c>
      <c r="I6" t="s">
        <v>22</v>
      </c>
      <c r="J6" t="s">
        <v>31</v>
      </c>
      <c r="K6" t="s">
        <v>16</v>
      </c>
      <c r="L6" t="s">
        <v>41</v>
      </c>
      <c r="M6" t="s">
        <v>27</v>
      </c>
      <c r="N6" t="s">
        <v>22</v>
      </c>
      <c r="O6" t="s">
        <v>31</v>
      </c>
      <c r="P6" t="s">
        <v>16</v>
      </c>
      <c r="Q6" t="s">
        <v>41</v>
      </c>
      <c r="R6" t="s">
        <v>27</v>
      </c>
      <c r="S6" t="s">
        <v>22</v>
      </c>
      <c r="T6" t="s">
        <v>31</v>
      </c>
      <c r="U6" t="s">
        <v>16</v>
      </c>
    </row>
    <row r="7" spans="1:25" x14ac:dyDescent="0.45">
      <c r="A7" t="s">
        <v>36</v>
      </c>
      <c r="B7" s="5">
        <v>2007967</v>
      </c>
      <c r="C7" s="5">
        <v>2658711</v>
      </c>
      <c r="D7" s="5">
        <v>1349169</v>
      </c>
      <c r="E7" s="5">
        <v>5386228</v>
      </c>
      <c r="F7" s="5">
        <v>2170725</v>
      </c>
      <c r="G7" s="5">
        <v>3077687</v>
      </c>
      <c r="H7" s="5">
        <v>4634939</v>
      </c>
      <c r="I7" s="5">
        <v>2463156</v>
      </c>
      <c r="J7" s="5">
        <v>8859165</v>
      </c>
      <c r="K7" s="5">
        <v>3288990</v>
      </c>
      <c r="L7" s="5">
        <v>1069720</v>
      </c>
      <c r="M7" s="5">
        <v>1976228</v>
      </c>
      <c r="N7" s="5">
        <v>1113987</v>
      </c>
      <c r="O7" s="5">
        <v>3472937</v>
      </c>
      <c r="P7" s="5">
        <v>1118265</v>
      </c>
      <c r="Q7" s="5">
        <v>8914.3333333333339</v>
      </c>
      <c r="R7" s="5">
        <v>11693.656804733728</v>
      </c>
      <c r="S7" s="5">
        <v>13924.8375</v>
      </c>
      <c r="T7" s="5">
        <v>10785.518633540372</v>
      </c>
      <c r="U7" s="5">
        <v>8805.2362204724413</v>
      </c>
      <c r="V7" s="5">
        <v>13572800</v>
      </c>
      <c r="W7" s="5">
        <v>22323937</v>
      </c>
      <c r="X7" s="5">
        <v>8751137</v>
      </c>
      <c r="Y7" s="5">
        <v>10698.211491442542</v>
      </c>
    </row>
    <row r="8" spans="1:25" x14ac:dyDescent="0.45">
      <c r="A8" t="s">
        <v>40</v>
      </c>
      <c r="B8" s="5">
        <v>823603</v>
      </c>
      <c r="C8" s="5">
        <v>881458</v>
      </c>
      <c r="D8" s="5">
        <v>438139</v>
      </c>
      <c r="E8" s="5">
        <v>1545315</v>
      </c>
      <c r="F8" s="5">
        <v>555544</v>
      </c>
      <c r="G8" s="5">
        <v>1257815</v>
      </c>
      <c r="H8" s="5">
        <v>1311962</v>
      </c>
      <c r="I8" s="5">
        <v>680183</v>
      </c>
      <c r="J8" s="5">
        <v>2430583</v>
      </c>
      <c r="K8" s="5">
        <v>920755</v>
      </c>
      <c r="L8" s="5">
        <v>434212</v>
      </c>
      <c r="M8" s="5">
        <v>430504</v>
      </c>
      <c r="N8" s="5">
        <v>242044</v>
      </c>
      <c r="O8" s="5">
        <v>885268</v>
      </c>
      <c r="P8" s="5">
        <v>365211</v>
      </c>
      <c r="Q8" s="5">
        <v>9238.5531914893618</v>
      </c>
      <c r="R8" s="5">
        <v>8441.254901960785</v>
      </c>
      <c r="S8" s="5">
        <v>8346.3448275862065</v>
      </c>
      <c r="T8" s="5">
        <v>9221.5416666666661</v>
      </c>
      <c r="U8" s="5">
        <v>10434.6</v>
      </c>
      <c r="V8" s="5">
        <v>4244059</v>
      </c>
      <c r="W8" s="5">
        <v>6601298</v>
      </c>
      <c r="X8" s="5">
        <v>2357239</v>
      </c>
      <c r="Y8" s="5">
        <v>9136.5852713178301</v>
      </c>
    </row>
    <row r="9" spans="1:25" x14ac:dyDescent="0.45">
      <c r="A9" t="s">
        <v>14</v>
      </c>
      <c r="B9" s="5">
        <v>973324</v>
      </c>
      <c r="C9" s="5">
        <v>1042549</v>
      </c>
      <c r="D9" s="5">
        <v>474728</v>
      </c>
      <c r="E9" s="5">
        <v>2117183</v>
      </c>
      <c r="F9" s="5">
        <v>732010</v>
      </c>
      <c r="G9" s="5">
        <v>1597123</v>
      </c>
      <c r="H9" s="5">
        <v>1438460</v>
      </c>
      <c r="I9" s="5">
        <v>712443</v>
      </c>
      <c r="J9" s="5">
        <v>3618531</v>
      </c>
      <c r="K9" s="5">
        <v>1292519</v>
      </c>
      <c r="L9" s="5">
        <v>623799</v>
      </c>
      <c r="M9" s="5">
        <v>395911</v>
      </c>
      <c r="N9" s="5">
        <v>237715</v>
      </c>
      <c r="O9" s="5">
        <v>1501348</v>
      </c>
      <c r="P9" s="5">
        <v>560509</v>
      </c>
      <c r="Q9" s="5">
        <v>11769.792452830188</v>
      </c>
      <c r="R9" s="5">
        <v>7069.8392857142853</v>
      </c>
      <c r="S9" s="5">
        <v>8197.0689655172409</v>
      </c>
      <c r="T9" s="5">
        <v>11460.67175572519</v>
      </c>
      <c r="U9" s="5">
        <v>12455.755555555555</v>
      </c>
      <c r="V9" s="5">
        <v>5339794</v>
      </c>
      <c r="W9" s="5">
        <v>8659076</v>
      </c>
      <c r="X9" s="5">
        <v>3319282</v>
      </c>
      <c r="Y9" s="5">
        <v>10570.96178343949</v>
      </c>
    </row>
    <row r="10" spans="1:25" x14ac:dyDescent="0.45">
      <c r="A10" t="s">
        <v>26</v>
      </c>
      <c r="B10" s="5">
        <v>1165251</v>
      </c>
      <c r="C10" s="5">
        <v>1227484</v>
      </c>
      <c r="D10" s="5">
        <v>671772</v>
      </c>
      <c r="E10" s="5">
        <v>2989364</v>
      </c>
      <c r="F10" s="5">
        <v>895573</v>
      </c>
      <c r="G10" s="5">
        <v>1570635</v>
      </c>
      <c r="H10" s="5">
        <v>1952119</v>
      </c>
      <c r="I10" s="5">
        <v>995603</v>
      </c>
      <c r="J10" s="5">
        <v>4743525</v>
      </c>
      <c r="K10" s="5">
        <v>1604446</v>
      </c>
      <c r="L10" s="5">
        <v>405384</v>
      </c>
      <c r="M10" s="5">
        <v>724635</v>
      </c>
      <c r="N10" s="5">
        <v>323831</v>
      </c>
      <c r="O10" s="5">
        <v>1754161</v>
      </c>
      <c r="P10" s="5">
        <v>708873</v>
      </c>
      <c r="Q10" s="5">
        <v>6538.4516129032254</v>
      </c>
      <c r="R10" s="5">
        <v>9792.364864864865</v>
      </c>
      <c r="S10" s="5">
        <v>8303.3589743589746</v>
      </c>
      <c r="T10" s="5">
        <v>9691.4972375690613</v>
      </c>
      <c r="U10" s="5">
        <v>12888.6</v>
      </c>
      <c r="V10" s="5">
        <v>6949444</v>
      </c>
      <c r="W10" s="5">
        <v>10866328</v>
      </c>
      <c r="X10" s="5">
        <v>3916884</v>
      </c>
      <c r="Y10" s="5">
        <v>9530.1313868613142</v>
      </c>
    </row>
    <row r="11" spans="1:25" x14ac:dyDescent="0.45">
      <c r="A11" t="s">
        <v>30</v>
      </c>
      <c r="B11" s="5">
        <v>690451</v>
      </c>
      <c r="C11" s="5">
        <v>606825</v>
      </c>
      <c r="D11" s="5">
        <v>391105</v>
      </c>
      <c r="E11" s="5">
        <v>1276520</v>
      </c>
      <c r="F11" s="5">
        <v>401048</v>
      </c>
      <c r="G11" s="5">
        <v>1081797</v>
      </c>
      <c r="H11" s="5">
        <v>862190</v>
      </c>
      <c r="I11" s="5">
        <v>645418</v>
      </c>
      <c r="J11" s="5">
        <v>2211778</v>
      </c>
      <c r="K11" s="5">
        <v>713753</v>
      </c>
      <c r="L11" s="5">
        <v>391346</v>
      </c>
      <c r="M11" s="5">
        <v>255365</v>
      </c>
      <c r="N11" s="5">
        <v>254313</v>
      </c>
      <c r="O11" s="5">
        <v>935258</v>
      </c>
      <c r="P11" s="5">
        <v>312705</v>
      </c>
      <c r="Q11" s="5">
        <v>10298.578947368422</v>
      </c>
      <c r="R11" s="5">
        <v>7093.4722222222226</v>
      </c>
      <c r="S11" s="5">
        <v>11559.681818181818</v>
      </c>
      <c r="T11" s="5">
        <v>11990.48717948718</v>
      </c>
      <c r="U11" s="5">
        <v>12508.2</v>
      </c>
      <c r="V11" s="5">
        <v>3365949</v>
      </c>
      <c r="W11" s="5">
        <v>5514936</v>
      </c>
      <c r="X11" s="5">
        <v>2148987</v>
      </c>
      <c r="Y11" s="5">
        <v>10798.929648241206</v>
      </c>
    </row>
    <row r="12" spans="1:25" x14ac:dyDescent="0.45">
      <c r="A12" t="s">
        <v>2037</v>
      </c>
      <c r="B12" s="5">
        <v>5660596</v>
      </c>
      <c r="C12" s="5">
        <v>6417027</v>
      </c>
      <c r="D12" s="5">
        <v>3324913</v>
      </c>
      <c r="E12" s="5">
        <v>13314610</v>
      </c>
      <c r="F12" s="5">
        <v>4754900</v>
      </c>
      <c r="G12" s="5">
        <v>8585057</v>
      </c>
      <c r="H12" s="5">
        <v>10199670</v>
      </c>
      <c r="I12" s="5">
        <v>5496803</v>
      </c>
      <c r="J12" s="5">
        <v>21863582</v>
      </c>
      <c r="K12" s="5">
        <v>7820463</v>
      </c>
      <c r="L12" s="5">
        <v>2924461</v>
      </c>
      <c r="M12" s="5">
        <v>3782643</v>
      </c>
      <c r="N12" s="5">
        <v>2171890</v>
      </c>
      <c r="O12" s="5">
        <v>8548972</v>
      </c>
      <c r="P12" s="5">
        <v>3065563</v>
      </c>
      <c r="Q12" s="5">
        <v>9138.9406249999993</v>
      </c>
      <c r="R12" s="5">
        <v>9799.5932642487041</v>
      </c>
      <c r="S12" s="5">
        <v>10914.020100502512</v>
      </c>
      <c r="T12" s="5">
        <v>10580.410891089108</v>
      </c>
      <c r="U12" s="5">
        <v>10681.404181184669</v>
      </c>
      <c r="V12" s="5">
        <v>33472046</v>
      </c>
      <c r="W12" s="5">
        <v>53965575</v>
      </c>
      <c r="X12" s="5">
        <v>20493529</v>
      </c>
      <c r="Y12" s="5">
        <v>10246.764499999999</v>
      </c>
    </row>
    <row r="18" spans="1:6" x14ac:dyDescent="0.45">
      <c r="A18" s="3" t="s">
        <v>10</v>
      </c>
      <c r="B18" t="s">
        <v>2056</v>
      </c>
    </row>
    <row r="20" spans="1:6" x14ac:dyDescent="0.45">
      <c r="A20" s="3" t="s">
        <v>6</v>
      </c>
      <c r="B20" s="3" t="s">
        <v>8</v>
      </c>
      <c r="C20" t="s">
        <v>2049</v>
      </c>
      <c r="D20" t="s">
        <v>2048</v>
      </c>
      <c r="E20" t="s">
        <v>2038</v>
      </c>
      <c r="F20" t="s">
        <v>2050</v>
      </c>
    </row>
    <row r="21" spans="1:6" x14ac:dyDescent="0.45">
      <c r="A21" t="s">
        <v>36</v>
      </c>
      <c r="B21" t="s">
        <v>41</v>
      </c>
      <c r="C21" s="5">
        <v>2007967</v>
      </c>
      <c r="D21" s="5">
        <v>3077687</v>
      </c>
      <c r="E21" s="5">
        <v>1069720</v>
      </c>
      <c r="F21" s="5">
        <v>8914.3333333333339</v>
      </c>
    </row>
    <row r="22" spans="1:6" x14ac:dyDescent="0.45">
      <c r="B22" t="s">
        <v>27</v>
      </c>
      <c r="C22" s="5">
        <v>2658711</v>
      </c>
      <c r="D22" s="5">
        <v>4634939</v>
      </c>
      <c r="E22" s="5">
        <v>1976228</v>
      </c>
      <c r="F22" s="5">
        <v>11693.656804733728</v>
      </c>
    </row>
    <row r="23" spans="1:6" x14ac:dyDescent="0.45">
      <c r="B23" t="s">
        <v>22</v>
      </c>
      <c r="C23" s="5">
        <v>1349169</v>
      </c>
      <c r="D23" s="5">
        <v>2463156</v>
      </c>
      <c r="E23" s="5">
        <v>1113987</v>
      </c>
      <c r="F23" s="5">
        <v>13924.8375</v>
      </c>
    </row>
    <row r="24" spans="1:6" x14ac:dyDescent="0.45">
      <c r="B24" t="s">
        <v>31</v>
      </c>
      <c r="C24" s="5">
        <v>5386228</v>
      </c>
      <c r="D24" s="5">
        <v>8859165</v>
      </c>
      <c r="E24" s="5">
        <v>3472937</v>
      </c>
      <c r="F24" s="5">
        <v>10785.518633540372</v>
      </c>
    </row>
    <row r="25" spans="1:6" x14ac:dyDescent="0.45">
      <c r="B25" t="s">
        <v>16</v>
      </c>
      <c r="C25" s="5">
        <v>2170725</v>
      </c>
      <c r="D25" s="5">
        <v>3288990</v>
      </c>
      <c r="E25" s="5">
        <v>1118265</v>
      </c>
      <c r="F25" s="5">
        <v>8805.2362204724413</v>
      </c>
    </row>
    <row r="26" spans="1:6" x14ac:dyDescent="0.45">
      <c r="A26" t="s">
        <v>2044</v>
      </c>
      <c r="C26" s="5">
        <v>13572800</v>
      </c>
      <c r="D26" s="5">
        <v>22323937</v>
      </c>
      <c r="E26" s="5">
        <v>8751137</v>
      </c>
      <c r="F26" s="5">
        <v>10698.211491442542</v>
      </c>
    </row>
    <row r="27" spans="1:6" x14ac:dyDescent="0.45">
      <c r="A27" t="s">
        <v>40</v>
      </c>
      <c r="B27" t="s">
        <v>41</v>
      </c>
      <c r="C27" s="5">
        <v>823603</v>
      </c>
      <c r="D27" s="5">
        <v>1257815</v>
      </c>
      <c r="E27" s="5">
        <v>434212</v>
      </c>
      <c r="F27" s="5">
        <v>9238.5531914893618</v>
      </c>
    </row>
    <row r="28" spans="1:6" x14ac:dyDescent="0.45">
      <c r="B28" t="s">
        <v>27</v>
      </c>
      <c r="C28" s="5">
        <v>881458</v>
      </c>
      <c r="D28" s="5">
        <v>1311962</v>
      </c>
      <c r="E28" s="5">
        <v>430504</v>
      </c>
      <c r="F28" s="5">
        <v>8441.254901960785</v>
      </c>
    </row>
    <row r="29" spans="1:6" x14ac:dyDescent="0.45">
      <c r="B29" t="s">
        <v>22</v>
      </c>
      <c r="C29" s="5">
        <v>438139</v>
      </c>
      <c r="D29" s="5">
        <v>680183</v>
      </c>
      <c r="E29" s="5">
        <v>242044</v>
      </c>
      <c r="F29" s="5">
        <v>8346.3448275862065</v>
      </c>
    </row>
    <row r="30" spans="1:6" x14ac:dyDescent="0.45">
      <c r="B30" t="s">
        <v>31</v>
      </c>
      <c r="C30" s="5">
        <v>1545315</v>
      </c>
      <c r="D30" s="5">
        <v>2430583</v>
      </c>
      <c r="E30" s="5">
        <v>885268</v>
      </c>
      <c r="F30" s="5">
        <v>9221.5416666666661</v>
      </c>
    </row>
    <row r="31" spans="1:6" x14ac:dyDescent="0.45">
      <c r="B31" t="s">
        <v>16</v>
      </c>
      <c r="C31" s="5">
        <v>555544</v>
      </c>
      <c r="D31" s="5">
        <v>920755</v>
      </c>
      <c r="E31" s="5">
        <v>365211</v>
      </c>
      <c r="F31" s="5">
        <v>10434.6</v>
      </c>
    </row>
    <row r="32" spans="1:6" x14ac:dyDescent="0.45">
      <c r="A32" t="s">
        <v>2041</v>
      </c>
      <c r="C32" s="5">
        <v>4244059</v>
      </c>
      <c r="D32" s="5">
        <v>6601298</v>
      </c>
      <c r="E32" s="5">
        <v>2357239</v>
      </c>
      <c r="F32" s="5">
        <v>9136.5852713178301</v>
      </c>
    </row>
    <row r="33" spans="1:6" x14ac:dyDescent="0.45">
      <c r="A33" t="s">
        <v>14</v>
      </c>
      <c r="B33" t="s">
        <v>41</v>
      </c>
      <c r="C33" s="5">
        <v>973324</v>
      </c>
      <c r="D33" s="5">
        <v>1597123</v>
      </c>
      <c r="E33" s="5">
        <v>623799</v>
      </c>
      <c r="F33" s="5">
        <v>11769.792452830188</v>
      </c>
    </row>
    <row r="34" spans="1:6" x14ac:dyDescent="0.45">
      <c r="B34" t="s">
        <v>27</v>
      </c>
      <c r="C34" s="5">
        <v>1042549</v>
      </c>
      <c r="D34" s="5">
        <v>1438460</v>
      </c>
      <c r="E34" s="5">
        <v>395911</v>
      </c>
      <c r="F34" s="5">
        <v>7069.8392857142853</v>
      </c>
    </row>
    <row r="35" spans="1:6" x14ac:dyDescent="0.45">
      <c r="B35" t="s">
        <v>22</v>
      </c>
      <c r="C35" s="5">
        <v>474728</v>
      </c>
      <c r="D35" s="5">
        <v>712443</v>
      </c>
      <c r="E35" s="5">
        <v>237715</v>
      </c>
      <c r="F35" s="5">
        <v>8197.0689655172409</v>
      </c>
    </row>
    <row r="36" spans="1:6" x14ac:dyDescent="0.45">
      <c r="B36" t="s">
        <v>31</v>
      </c>
      <c r="C36" s="5">
        <v>2117183</v>
      </c>
      <c r="D36" s="5">
        <v>3618531</v>
      </c>
      <c r="E36" s="5">
        <v>1501348</v>
      </c>
      <c r="F36" s="5">
        <v>11460.67175572519</v>
      </c>
    </row>
    <row r="37" spans="1:6" x14ac:dyDescent="0.45">
      <c r="B37" t="s">
        <v>16</v>
      </c>
      <c r="C37" s="5">
        <v>732010</v>
      </c>
      <c r="D37" s="5">
        <v>1292519</v>
      </c>
      <c r="E37" s="5">
        <v>560509</v>
      </c>
      <c r="F37" s="5">
        <v>12455.755555555555</v>
      </c>
    </row>
    <row r="38" spans="1:6" x14ac:dyDescent="0.45">
      <c r="A38" t="s">
        <v>2042</v>
      </c>
      <c r="C38" s="5">
        <v>5339794</v>
      </c>
      <c r="D38" s="5">
        <v>8659076</v>
      </c>
      <c r="E38" s="5">
        <v>3319282</v>
      </c>
      <c r="F38" s="5">
        <v>10570.96178343949</v>
      </c>
    </row>
    <row r="39" spans="1:6" x14ac:dyDescent="0.45">
      <c r="A39" t="s">
        <v>26</v>
      </c>
      <c r="B39" t="s">
        <v>41</v>
      </c>
      <c r="C39" s="5">
        <v>1165251</v>
      </c>
      <c r="D39" s="5">
        <v>1570635</v>
      </c>
      <c r="E39" s="5">
        <v>405384</v>
      </c>
      <c r="F39" s="5">
        <v>6538.4516129032254</v>
      </c>
    </row>
    <row r="40" spans="1:6" x14ac:dyDescent="0.45">
      <c r="B40" t="s">
        <v>27</v>
      </c>
      <c r="C40" s="5">
        <v>1227484</v>
      </c>
      <c r="D40" s="5">
        <v>1952119</v>
      </c>
      <c r="E40" s="5">
        <v>724635</v>
      </c>
      <c r="F40" s="5">
        <v>9792.364864864865</v>
      </c>
    </row>
    <row r="41" spans="1:6" x14ac:dyDescent="0.45">
      <c r="B41" t="s">
        <v>22</v>
      </c>
      <c r="C41" s="5">
        <v>671772</v>
      </c>
      <c r="D41" s="5">
        <v>995603</v>
      </c>
      <c r="E41" s="5">
        <v>323831</v>
      </c>
      <c r="F41" s="5">
        <v>8303.3589743589746</v>
      </c>
    </row>
    <row r="42" spans="1:6" x14ac:dyDescent="0.45">
      <c r="B42" t="s">
        <v>31</v>
      </c>
      <c r="C42" s="5">
        <v>2989364</v>
      </c>
      <c r="D42" s="5">
        <v>4743525</v>
      </c>
      <c r="E42" s="5">
        <v>1754161</v>
      </c>
      <c r="F42" s="5">
        <v>9691.4972375690613</v>
      </c>
    </row>
    <row r="43" spans="1:6" x14ac:dyDescent="0.45">
      <c r="B43" t="s">
        <v>16</v>
      </c>
      <c r="C43" s="5">
        <v>895573</v>
      </c>
      <c r="D43" s="5">
        <v>1604446</v>
      </c>
      <c r="E43" s="5">
        <v>708873</v>
      </c>
      <c r="F43" s="5">
        <v>12888.6</v>
      </c>
    </row>
    <row r="44" spans="1:6" x14ac:dyDescent="0.45">
      <c r="A44" t="s">
        <v>2043</v>
      </c>
      <c r="C44" s="5">
        <v>6949444</v>
      </c>
      <c r="D44" s="5">
        <v>10866328</v>
      </c>
      <c r="E44" s="5">
        <v>3916884</v>
      </c>
      <c r="F44" s="5">
        <v>9530.1313868613142</v>
      </c>
    </row>
    <row r="45" spans="1:6" x14ac:dyDescent="0.45">
      <c r="A45" t="s">
        <v>30</v>
      </c>
      <c r="B45" t="s">
        <v>41</v>
      </c>
      <c r="C45" s="5">
        <v>690451</v>
      </c>
      <c r="D45" s="5">
        <v>1081797</v>
      </c>
      <c r="E45" s="5">
        <v>391346</v>
      </c>
      <c r="F45" s="5">
        <v>10298.578947368422</v>
      </c>
    </row>
    <row r="46" spans="1:6" x14ac:dyDescent="0.45">
      <c r="B46" t="s">
        <v>27</v>
      </c>
      <c r="C46" s="5">
        <v>606825</v>
      </c>
      <c r="D46" s="5">
        <v>862190</v>
      </c>
      <c r="E46" s="5">
        <v>255365</v>
      </c>
      <c r="F46" s="5">
        <v>7093.4722222222226</v>
      </c>
    </row>
    <row r="47" spans="1:6" x14ac:dyDescent="0.45">
      <c r="B47" t="s">
        <v>22</v>
      </c>
      <c r="C47" s="5">
        <v>391105</v>
      </c>
      <c r="D47" s="5">
        <v>645418</v>
      </c>
      <c r="E47" s="5">
        <v>254313</v>
      </c>
      <c r="F47" s="5">
        <v>11559.681818181818</v>
      </c>
    </row>
    <row r="48" spans="1:6" x14ac:dyDescent="0.45">
      <c r="B48" t="s">
        <v>31</v>
      </c>
      <c r="C48" s="5">
        <v>1276520</v>
      </c>
      <c r="D48" s="5">
        <v>2211778</v>
      </c>
      <c r="E48" s="5">
        <v>935258</v>
      </c>
      <c r="F48" s="5">
        <v>11990.48717948718</v>
      </c>
    </row>
    <row r="49" spans="1:6" x14ac:dyDescent="0.45">
      <c r="B49" t="s">
        <v>16</v>
      </c>
      <c r="C49" s="5">
        <v>401048</v>
      </c>
      <c r="D49" s="5">
        <v>713753</v>
      </c>
      <c r="E49" s="5">
        <v>312705</v>
      </c>
      <c r="F49" s="5">
        <v>12508.2</v>
      </c>
    </row>
    <row r="50" spans="1:6" x14ac:dyDescent="0.45">
      <c r="A50" t="s">
        <v>2040</v>
      </c>
      <c r="C50" s="5">
        <v>3365949</v>
      </c>
      <c r="D50" s="5">
        <v>5514936</v>
      </c>
      <c r="E50" s="5">
        <v>2148987</v>
      </c>
      <c r="F50" s="5">
        <v>10798.929648241206</v>
      </c>
    </row>
    <row r="51" spans="1:6" x14ac:dyDescent="0.45">
      <c r="A51" t="s">
        <v>2037</v>
      </c>
      <c r="C51" s="5">
        <v>33472046</v>
      </c>
      <c r="D51" s="5">
        <v>53965575</v>
      </c>
      <c r="E51" s="5">
        <v>20493529</v>
      </c>
      <c r="F51" s="5">
        <v>10246.764499999999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workbookViewId="0">
      <selection sqref="A1:L2001"/>
    </sheetView>
  </sheetViews>
  <sheetFormatPr defaultRowHeight="14.25" x14ac:dyDescent="0.45"/>
  <cols>
    <col min="1" max="1" width="15.53125" customWidth="1"/>
    <col min="2" max="2" width="17.53125" customWidth="1"/>
    <col min="3" max="3" width="11.86328125" customWidth="1"/>
    <col min="4" max="4" width="11.33203125" customWidth="1"/>
    <col min="5" max="5" width="10.86328125" customWidth="1"/>
    <col min="6" max="6" width="14.86328125" customWidth="1"/>
    <col min="7" max="7" width="16.6640625" customWidth="1"/>
    <col min="8" max="8" width="14.6640625" customWidth="1"/>
    <col min="9" max="9" width="15.1328125" customWidth="1"/>
    <col min="10" max="10" width="18.796875" customWidth="1"/>
    <col min="11" max="11" width="20" customWidth="1"/>
    <col min="12" max="12" width="13.1328125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45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45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45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45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45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45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45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45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45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45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45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45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45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45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45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45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45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45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45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45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45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45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45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45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45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45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45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45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45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45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45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45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45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45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45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45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45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45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45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45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45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45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45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45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45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45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45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45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45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45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45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45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45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45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45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45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45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45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45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45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45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45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45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45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45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45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45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45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45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45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45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45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45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45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45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45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45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45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45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45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45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45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45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45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45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45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45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45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45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45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45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45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45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45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45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45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45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45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45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45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45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45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45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45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45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45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45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45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45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45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45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45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45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45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45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45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45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45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45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45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45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45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45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45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45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45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45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45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45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45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45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45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45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45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45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45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45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45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45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45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45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45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45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45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45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45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45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45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45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45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45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45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45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45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45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45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45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45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45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45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45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45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45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45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45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45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45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45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45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45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45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45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45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45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45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45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45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45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45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45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45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45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45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45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45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45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45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45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45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45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45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45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45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45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45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45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45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45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45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45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45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45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45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45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45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45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45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45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45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45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45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45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45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45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45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45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45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45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45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45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45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45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45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45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45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45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45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45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45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45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45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45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45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45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45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45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45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45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45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45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45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45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45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45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45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45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45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45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45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45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45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45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45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45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45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45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45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45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45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45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45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45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45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45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45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45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45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45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45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45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45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45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45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45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45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45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45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45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45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45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45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45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45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45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45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45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45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45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45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45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45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45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45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45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45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45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45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45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45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45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45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45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45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45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45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45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45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45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45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45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45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45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45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45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45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45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45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45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45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45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45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45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45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45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45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45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45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45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45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45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45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45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45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45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45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45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45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45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45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45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45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45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45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45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45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45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45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45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45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45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45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45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45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45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45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45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45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45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45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45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45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45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45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45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45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45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45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45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45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45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45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45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45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45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45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45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45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45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45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45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45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45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45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45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45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45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45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45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45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45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45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45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45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45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45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45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45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45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45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45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45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45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45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45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45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45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45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45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45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45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45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45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45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45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45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45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45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45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45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45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45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45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45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45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45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45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45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45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45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45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45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45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45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45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45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45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45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45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45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45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45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45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45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45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45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45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45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45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45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45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45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45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45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45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45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45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45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45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45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45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45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45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45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45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45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45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45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45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45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45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45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45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45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45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45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45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45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45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45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45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45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45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45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45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45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45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45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45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45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45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45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45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45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45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45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45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45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45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45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45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45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45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45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45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45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45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45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45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45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45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45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45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45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45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45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45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45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45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45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45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45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45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45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45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45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45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45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45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45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45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45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45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45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45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45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45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45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45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45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45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45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45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45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45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45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45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45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45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45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45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45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45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45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45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45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45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45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45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45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45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45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45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45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45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45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45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45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45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45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45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45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45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45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45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45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45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45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45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45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45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45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45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45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45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45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45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45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45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45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45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45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45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45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45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45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45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45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45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45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45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45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45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45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45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45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45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45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45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45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45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45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45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45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45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45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45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45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45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45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45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45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45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45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45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45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45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45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45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45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45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45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45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45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45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45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45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45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45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45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45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45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45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45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45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45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45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45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45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45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45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45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45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45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45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45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45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45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45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45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45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45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45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45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45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45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45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45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45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45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45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45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45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45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45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45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45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45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45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45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45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45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45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45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45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45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45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45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45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45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45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45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45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45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45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45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45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45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45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45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45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45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45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45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45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45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45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45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45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45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45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45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45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45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45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45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45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45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45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45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45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45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45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45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45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45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45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45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45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45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45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45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45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45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45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45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45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45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45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45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45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45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45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45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45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45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45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45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45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45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45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45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45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45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45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45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45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45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45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45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45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45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45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45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45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45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45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45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45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45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45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45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45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45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45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45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45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45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45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45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45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45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45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45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45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45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45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45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45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45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45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45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45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45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45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45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45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45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45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45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45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45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45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45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45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45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45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45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45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45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45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45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45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45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45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45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45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45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45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45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45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45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45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45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45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45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45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45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45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45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45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45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45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45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45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45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45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45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45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45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45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45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45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45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45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45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45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45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45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45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45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45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45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45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45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45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45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45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45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45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45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45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45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45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45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45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45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45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45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45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45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45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45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45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45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45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45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45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45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45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45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45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45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45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45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45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45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45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45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45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45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45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45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45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45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45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45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45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45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45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45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45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45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45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45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45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45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45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45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45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45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45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45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45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45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45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45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45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45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45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45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45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45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45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45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45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45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45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45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45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45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45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45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45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45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45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45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45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45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45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45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45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45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45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45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45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45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45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45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45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45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45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45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45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45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45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45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45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45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45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45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45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45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45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45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45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45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45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45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45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45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45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45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45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45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45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45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45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45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45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45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45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45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45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45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45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45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45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45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45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45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45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45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45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45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45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45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45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45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45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45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45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45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45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45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45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45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45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45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45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45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45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45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45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45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45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45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45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45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45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45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45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45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45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45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45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45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45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45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45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45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45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45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45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45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45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45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45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45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45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45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45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45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45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45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45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45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45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45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45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45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45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45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45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45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45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45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45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45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45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45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45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45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45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45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45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45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45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45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45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45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45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45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45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45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45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45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45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45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45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45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45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45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45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45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45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45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45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45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45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45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45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45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45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45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45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45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45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45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45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45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45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45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45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45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45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45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45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45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45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45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45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45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45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45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45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45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45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45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45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45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45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45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45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45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45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45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45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45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45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45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45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45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45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45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45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45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45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45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45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45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45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45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45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45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45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45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45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45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45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45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45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45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45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45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45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45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45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45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45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45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45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45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45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45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45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45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45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45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45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45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45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45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45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45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45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45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45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45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45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45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45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45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45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45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45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45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45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45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45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45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45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45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45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45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45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45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45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45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45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45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45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45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45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45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45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45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45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45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45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45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45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45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45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45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45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45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45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45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45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45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45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45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45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45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45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45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45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45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45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45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45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45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45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45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45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45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45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45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45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45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45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45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45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45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45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45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45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45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45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45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45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45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45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45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45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45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45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45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45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45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45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45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45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45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45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45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45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45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45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45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45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45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45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45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45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45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45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45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45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45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45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45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45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45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45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45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45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45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45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45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45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45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45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45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45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45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45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45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45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45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45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45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45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45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45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45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45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45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45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45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45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45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45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45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45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45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45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45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45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45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45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45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45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45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45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45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45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45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45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45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45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45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45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45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45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45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45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45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45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45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45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45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45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45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45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45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45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45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45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45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45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45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45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45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45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45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45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45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45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45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45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45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45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45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45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45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45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45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45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45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45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45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45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45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45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45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45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45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45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45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45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45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45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45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45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45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45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45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45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45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45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45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45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45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45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45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45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45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45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45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45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45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45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45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45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45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45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45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45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45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45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45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45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45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45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45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45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45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45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45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45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45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45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45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45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45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45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45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45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45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45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45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45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45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45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45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45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45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45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45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45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45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45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45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45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45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45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45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45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45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45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45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45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45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45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45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45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45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45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45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45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45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45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45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45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45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45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45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45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45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45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45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45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45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45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45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45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45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45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45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45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45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45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45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45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45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45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45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45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45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45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45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45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45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45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45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45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45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45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45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45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45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45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45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45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45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45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45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45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45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45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45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45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45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45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45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45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45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45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45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45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45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45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45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45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45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45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45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45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45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45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45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45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45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45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45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45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45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45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45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45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45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45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45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45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45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45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45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45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45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45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45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45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45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45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45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45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45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45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45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45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45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45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45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45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45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45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45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45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45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45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45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45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45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45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45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45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45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45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45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45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45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45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45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45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45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45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45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45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45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45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45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45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45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45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45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45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45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45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45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45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45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45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45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45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45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45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45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45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45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45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45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45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45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45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45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45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45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45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45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45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45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45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45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45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45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45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45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45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45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45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45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45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45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45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45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45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45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45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45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45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45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45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45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45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45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45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45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45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45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45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45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45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45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45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45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45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45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45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45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45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45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45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45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45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45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45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45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45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45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45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45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45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45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45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45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45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45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45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45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45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45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45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45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45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45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45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45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45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45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45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45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45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45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45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45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45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45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45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45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45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45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45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45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45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45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45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45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45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45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45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45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45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45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45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45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45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45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45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45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45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45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45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45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45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45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45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45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45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45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45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45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45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45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45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45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45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45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45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45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45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45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45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45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45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45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45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45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45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45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45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45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45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45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45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45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45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45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45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45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45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45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45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45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45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45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45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45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45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45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45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45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45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45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45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45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45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45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45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45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45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45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45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45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45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45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45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45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45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45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45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45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45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45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45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45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45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45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45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45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45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45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45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45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45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45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45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45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45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45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45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45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45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45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45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45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45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45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45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45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45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45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45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45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45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45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45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45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45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45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45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45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45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45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45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45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45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45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45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45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45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45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45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45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45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45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45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45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45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45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45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45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45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45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45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45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45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45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45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45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45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45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45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45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45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45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45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45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45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45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45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45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45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45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45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45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45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45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45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45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45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45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45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45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45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45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45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45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45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45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45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45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45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45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45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45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45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45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45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45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45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45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45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45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45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45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45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45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45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45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45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45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45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45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45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45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45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45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45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45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45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45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45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45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45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45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45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45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45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45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45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45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45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45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45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45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45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45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45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45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45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45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45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45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45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45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45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45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45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45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45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45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45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45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45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45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45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45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45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45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45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45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45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45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45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45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45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45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45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45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45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45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45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45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45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45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45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45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45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45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45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45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45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45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45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45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45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45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45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45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45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45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45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45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45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45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45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45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45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408D-6B02-4EF6-A992-BBF8024E8462}">
  <dimension ref="A1:Y14"/>
  <sheetViews>
    <sheetView showGridLines="0" showRowColHeaders="0" zoomScale="86" workbookViewId="0">
      <selection activeCell="W18" sqref="W18"/>
    </sheetView>
  </sheetViews>
  <sheetFormatPr defaultRowHeight="14.25" x14ac:dyDescent="0.45"/>
  <sheetData>
    <row r="1" spans="1:25" x14ac:dyDescent="0.45">
      <c r="A1" s="8" t="s">
        <v>2059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x14ac:dyDescent="0.4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x14ac:dyDescent="0.4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x14ac:dyDescent="0.4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x14ac:dyDescent="0.4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4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4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14" spans="1:25" x14ac:dyDescent="0.45">
      <c r="W14" s="10"/>
    </row>
  </sheetData>
  <mergeCells count="1">
    <mergeCell ref="A1:Y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43B2-40D5-4B31-B6F8-9FCA2FEE805C}">
  <dimension ref="A3:B8"/>
  <sheetViews>
    <sheetView workbookViewId="0">
      <selection activeCell="B16" sqref="B16"/>
    </sheetView>
  </sheetViews>
  <sheetFormatPr defaultRowHeight="14.25" x14ac:dyDescent="0.45"/>
  <cols>
    <col min="1" max="1" width="12.06640625" bestFit="1" customWidth="1"/>
    <col min="2" max="2" width="11.3984375" bestFit="1" customWidth="1"/>
    <col min="3" max="203" width="6.33203125" bestFit="1" customWidth="1"/>
    <col min="204" max="489" width="5.33203125" bestFit="1" customWidth="1"/>
    <col min="490" max="529" width="4.33203125" bestFit="1" customWidth="1"/>
    <col min="530" max="532" width="3.33203125" bestFit="1" customWidth="1"/>
    <col min="533" max="536" width="2.73046875" bestFit="1" customWidth="1"/>
    <col min="537" max="582" width="3.73046875" bestFit="1" customWidth="1"/>
    <col min="583" max="971" width="4.73046875" bestFit="1" customWidth="1"/>
    <col min="972" max="1972" width="5.73046875" bestFit="1" customWidth="1"/>
    <col min="1973" max="1973" width="10.19921875" bestFit="1" customWidth="1"/>
  </cols>
  <sheetData>
    <row r="3" spans="1:2" x14ac:dyDescent="0.45">
      <c r="A3" s="3" t="s">
        <v>2046</v>
      </c>
      <c r="B3" t="s">
        <v>2047</v>
      </c>
    </row>
    <row r="4" spans="1:2" x14ac:dyDescent="0.45">
      <c r="A4" s="4" t="s">
        <v>24</v>
      </c>
      <c r="B4" s="5">
        <v>3629433</v>
      </c>
    </row>
    <row r="5" spans="1:2" x14ac:dyDescent="0.45">
      <c r="A5" s="4" t="s">
        <v>18</v>
      </c>
      <c r="B5" s="5">
        <v>9013666</v>
      </c>
    </row>
    <row r="6" spans="1:2" x14ac:dyDescent="0.45">
      <c r="A6" s="4" t="s">
        <v>33</v>
      </c>
      <c r="B6" s="5">
        <v>5030165</v>
      </c>
    </row>
    <row r="7" spans="1:2" x14ac:dyDescent="0.45">
      <c r="A7" s="4" t="s">
        <v>51</v>
      </c>
      <c r="B7" s="5">
        <v>2820265</v>
      </c>
    </row>
    <row r="8" spans="1:2" x14ac:dyDescent="0.45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36EFB-88B8-4E01-8BFB-BD8E40202E57}">
  <dimension ref="A3:B9"/>
  <sheetViews>
    <sheetView workbookViewId="0">
      <selection activeCell="O18" sqref="O18"/>
    </sheetView>
  </sheetViews>
  <sheetFormatPr defaultRowHeight="14.25" x14ac:dyDescent="0.45"/>
  <cols>
    <col min="1" max="1" width="12.06640625" bestFit="1" customWidth="1"/>
    <col min="2" max="2" width="14.1328125" bestFit="1" customWidth="1"/>
  </cols>
  <sheetData>
    <row r="3" spans="1:2" x14ac:dyDescent="0.45">
      <c r="A3" s="3" t="s">
        <v>2046</v>
      </c>
      <c r="B3" t="s">
        <v>2048</v>
      </c>
    </row>
    <row r="4" spans="1:2" x14ac:dyDescent="0.45">
      <c r="A4" s="4" t="s">
        <v>41</v>
      </c>
      <c r="B4" s="5">
        <v>8585057</v>
      </c>
    </row>
    <row r="5" spans="1:2" x14ac:dyDescent="0.45">
      <c r="A5" s="4" t="s">
        <v>27</v>
      </c>
      <c r="B5" s="5">
        <v>10199670</v>
      </c>
    </row>
    <row r="6" spans="1:2" x14ac:dyDescent="0.45">
      <c r="A6" s="4" t="s">
        <v>22</v>
      </c>
      <c r="B6" s="5">
        <v>5496803</v>
      </c>
    </row>
    <row r="7" spans="1:2" x14ac:dyDescent="0.45">
      <c r="A7" s="4" t="s">
        <v>31</v>
      </c>
      <c r="B7" s="5">
        <v>21863582</v>
      </c>
    </row>
    <row r="8" spans="1:2" x14ac:dyDescent="0.45">
      <c r="A8" s="4" t="s">
        <v>16</v>
      </c>
      <c r="B8" s="5">
        <v>7820463</v>
      </c>
    </row>
    <row r="9" spans="1:2" x14ac:dyDescent="0.45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DACDC-397D-40BB-9781-A64716C211A9}">
  <dimension ref="A3:D12"/>
  <sheetViews>
    <sheetView workbookViewId="0">
      <selection activeCell="C16" sqref="C16"/>
    </sheetView>
  </sheetViews>
  <sheetFormatPr defaultRowHeight="14.25" x14ac:dyDescent="0.45"/>
  <cols>
    <col min="1" max="1" width="12.53125" customWidth="1"/>
    <col min="2" max="2" width="13.9296875" customWidth="1"/>
    <col min="3" max="3" width="13.73046875" customWidth="1"/>
    <col min="4" max="4" width="12.6640625" customWidth="1"/>
  </cols>
  <sheetData>
    <row r="3" spans="1:4" x14ac:dyDescent="0.45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45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45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45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45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45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45">
      <c r="A9" s="4" t="s">
        <v>2037</v>
      </c>
      <c r="B9" s="5">
        <v>53965575</v>
      </c>
      <c r="C9" s="5">
        <v>33472046</v>
      </c>
      <c r="D9" s="5">
        <v>20493529</v>
      </c>
    </row>
    <row r="12" spans="1:4" x14ac:dyDescent="0.45">
      <c r="C12" s="6"/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0ADF8-ACCB-4586-BE4E-390CCB22C48D}">
  <dimension ref="A3:B9"/>
  <sheetViews>
    <sheetView workbookViewId="0">
      <selection activeCell="N32" sqref="N32"/>
    </sheetView>
  </sheetViews>
  <sheetFormatPr defaultRowHeight="14.25" x14ac:dyDescent="0.45"/>
  <cols>
    <col min="1" max="1" width="12.265625" bestFit="1" customWidth="1"/>
    <col min="2" max="2" width="20.3984375" bestFit="1" customWidth="1"/>
  </cols>
  <sheetData>
    <row r="3" spans="1:2" x14ac:dyDescent="0.45">
      <c r="A3" s="3" t="s">
        <v>2046</v>
      </c>
      <c r="B3" t="s">
        <v>2057</v>
      </c>
    </row>
    <row r="4" spans="1:2" x14ac:dyDescent="0.45">
      <c r="A4" s="4" t="s">
        <v>36</v>
      </c>
      <c r="B4" s="7">
        <v>818</v>
      </c>
    </row>
    <row r="5" spans="1:2" x14ac:dyDescent="0.45">
      <c r="A5" s="4" t="s">
        <v>40</v>
      </c>
      <c r="B5" s="7">
        <v>258</v>
      </c>
    </row>
    <row r="6" spans="1:2" x14ac:dyDescent="0.45">
      <c r="A6" s="4" t="s">
        <v>14</v>
      </c>
      <c r="B6" s="7">
        <v>314</v>
      </c>
    </row>
    <row r="7" spans="1:2" x14ac:dyDescent="0.45">
      <c r="A7" s="4" t="s">
        <v>26</v>
      </c>
      <c r="B7" s="7">
        <v>411</v>
      </c>
    </row>
    <row r="8" spans="1:2" x14ac:dyDescent="0.45">
      <c r="A8" s="4" t="s">
        <v>30</v>
      </c>
      <c r="B8" s="7">
        <v>199</v>
      </c>
    </row>
    <row r="9" spans="1:2" x14ac:dyDescent="0.45">
      <c r="A9" s="4" t="s">
        <v>2037</v>
      </c>
      <c r="B9" s="7">
        <v>2000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B805-5F2F-4F5C-855D-FCF311A0CD7A}">
  <dimension ref="A3:B10"/>
  <sheetViews>
    <sheetView tabSelected="1" workbookViewId="0">
      <selection activeCell="B15" sqref="B15"/>
    </sheetView>
  </sheetViews>
  <sheetFormatPr defaultRowHeight="14.25" x14ac:dyDescent="0.45"/>
  <cols>
    <col min="1" max="1" width="12.06640625" bestFit="1" customWidth="1"/>
    <col min="2" max="2" width="17.6640625" bestFit="1" customWidth="1"/>
  </cols>
  <sheetData>
    <row r="3" spans="1:2" x14ac:dyDescent="0.45">
      <c r="A3" s="3" t="s">
        <v>2046</v>
      </c>
      <c r="B3" t="s">
        <v>2058</v>
      </c>
    </row>
    <row r="4" spans="1:2" x14ac:dyDescent="0.45">
      <c r="A4" s="4" t="s">
        <v>45</v>
      </c>
      <c r="B4" s="5">
        <v>15749.475903614459</v>
      </c>
    </row>
    <row r="5" spans="1:2" x14ac:dyDescent="0.45">
      <c r="A5" s="4" t="s">
        <v>15</v>
      </c>
      <c r="B5" s="5">
        <v>17351.541666666668</v>
      </c>
    </row>
    <row r="6" spans="1:2" x14ac:dyDescent="0.45">
      <c r="A6" s="4" t="s">
        <v>21</v>
      </c>
      <c r="B6" s="5">
        <v>16810.526576019776</v>
      </c>
    </row>
    <row r="7" spans="1:2" x14ac:dyDescent="0.45">
      <c r="A7" s="4" t="s">
        <v>35</v>
      </c>
      <c r="B7" s="5">
        <v>16478.297945205479</v>
      </c>
    </row>
    <row r="8" spans="1:2" x14ac:dyDescent="0.45">
      <c r="A8" s="4" t="s">
        <v>20</v>
      </c>
      <c r="B8" s="5">
        <v>17174.339449541283</v>
      </c>
    </row>
    <row r="9" spans="1:2" x14ac:dyDescent="0.45">
      <c r="A9" s="4" t="s">
        <v>29</v>
      </c>
      <c r="B9" s="5">
        <v>16627.71517027864</v>
      </c>
    </row>
    <row r="10" spans="1:2" x14ac:dyDescent="0.45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topLeftCell="A28" workbookViewId="0">
      <selection activeCell="I42" sqref="I42"/>
    </sheetView>
  </sheetViews>
  <sheetFormatPr defaultRowHeight="14.25" x14ac:dyDescent="0.45"/>
  <cols>
    <col min="1" max="1" width="16.1328125" bestFit="1" customWidth="1"/>
    <col min="2" max="2" width="15.6640625" bestFit="1" customWidth="1"/>
    <col min="3" max="3" width="9.46484375" bestFit="1" customWidth="1"/>
    <col min="4" max="4" width="8.3984375" bestFit="1" customWidth="1"/>
    <col min="5" max="5" width="9.46484375" bestFit="1" customWidth="1"/>
    <col min="6" max="6" width="8.3984375" bestFit="1" customWidth="1"/>
    <col min="7" max="7" width="10.19921875" bestFit="1" customWidth="1"/>
  </cols>
  <sheetData>
    <row r="1" spans="1:7" x14ac:dyDescent="0.45">
      <c r="A1" s="3" t="s">
        <v>9</v>
      </c>
      <c r="B1" t="s">
        <v>2045</v>
      </c>
    </row>
    <row r="2" spans="1:7" x14ac:dyDescent="0.45">
      <c r="A2" s="3" t="s">
        <v>7</v>
      </c>
      <c r="B2" t="s">
        <v>15</v>
      </c>
    </row>
    <row r="4" spans="1:7" x14ac:dyDescent="0.45">
      <c r="A4" s="3" t="s">
        <v>2038</v>
      </c>
      <c r="B4" s="3" t="s">
        <v>2039</v>
      </c>
    </row>
    <row r="5" spans="1:7" x14ac:dyDescent="0.45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45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45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45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45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45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45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45">
      <c r="A13" s="3" t="s">
        <v>10</v>
      </c>
      <c r="B13" t="s">
        <v>2045</v>
      </c>
    </row>
    <row r="15" spans="1:7" x14ac:dyDescent="0.45">
      <c r="A15" s="3" t="s">
        <v>6</v>
      </c>
      <c r="B15" s="3" t="s">
        <v>8</v>
      </c>
      <c r="C15" t="s">
        <v>2038</v>
      </c>
    </row>
    <row r="16" spans="1:7" x14ac:dyDescent="0.45">
      <c r="A16" t="s">
        <v>40</v>
      </c>
      <c r="B16" t="s">
        <v>41</v>
      </c>
      <c r="C16" s="5">
        <v>139099</v>
      </c>
    </row>
    <row r="17" spans="1:3" x14ac:dyDescent="0.45">
      <c r="B17" t="s">
        <v>27</v>
      </c>
      <c r="C17" s="5">
        <v>378352</v>
      </c>
    </row>
    <row r="18" spans="1:3" x14ac:dyDescent="0.45">
      <c r="B18" t="s">
        <v>22</v>
      </c>
      <c r="C18" s="5">
        <v>132938</v>
      </c>
    </row>
    <row r="19" spans="1:3" x14ac:dyDescent="0.45">
      <c r="B19" t="s">
        <v>31</v>
      </c>
      <c r="C19" s="5">
        <v>465128</v>
      </c>
    </row>
    <row r="20" spans="1:3" x14ac:dyDescent="0.45">
      <c r="B20" t="s">
        <v>16</v>
      </c>
      <c r="C20" s="5">
        <v>144667</v>
      </c>
    </row>
    <row r="21" spans="1:3" x14ac:dyDescent="0.45">
      <c r="A21" t="s">
        <v>2041</v>
      </c>
      <c r="C21" s="5">
        <v>1260184</v>
      </c>
    </row>
    <row r="22" spans="1:3" x14ac:dyDescent="0.45">
      <c r="A22" t="s">
        <v>30</v>
      </c>
      <c r="B22" t="s">
        <v>41</v>
      </c>
      <c r="C22" s="5">
        <v>268316</v>
      </c>
    </row>
    <row r="23" spans="1:3" x14ac:dyDescent="0.45">
      <c r="B23" t="s">
        <v>27</v>
      </c>
      <c r="C23" s="5">
        <v>187730</v>
      </c>
    </row>
    <row r="24" spans="1:3" x14ac:dyDescent="0.45">
      <c r="B24" t="s">
        <v>22</v>
      </c>
      <c r="C24" s="5">
        <v>191265</v>
      </c>
    </row>
    <row r="25" spans="1:3" x14ac:dyDescent="0.45">
      <c r="B25" t="s">
        <v>31</v>
      </c>
      <c r="C25" s="5">
        <v>549053</v>
      </c>
    </row>
    <row r="26" spans="1:3" x14ac:dyDescent="0.45">
      <c r="B26" t="s">
        <v>16</v>
      </c>
      <c r="C26" s="5">
        <v>186486</v>
      </c>
    </row>
    <row r="27" spans="1:3" x14ac:dyDescent="0.45">
      <c r="A27" t="s">
        <v>2040</v>
      </c>
      <c r="C27" s="5">
        <v>1382850</v>
      </c>
    </row>
    <row r="28" spans="1:3" x14ac:dyDescent="0.45">
      <c r="A28" t="s">
        <v>14</v>
      </c>
      <c r="B28" t="s">
        <v>41</v>
      </c>
      <c r="C28" s="5">
        <v>436037</v>
      </c>
    </row>
    <row r="29" spans="1:3" x14ac:dyDescent="0.45">
      <c r="B29" t="s">
        <v>27</v>
      </c>
      <c r="C29" s="5">
        <v>278836</v>
      </c>
    </row>
    <row r="30" spans="1:3" x14ac:dyDescent="0.45">
      <c r="B30" t="s">
        <v>22</v>
      </c>
      <c r="C30" s="5">
        <v>193813</v>
      </c>
    </row>
    <row r="31" spans="1:3" x14ac:dyDescent="0.45">
      <c r="B31" t="s">
        <v>31</v>
      </c>
      <c r="C31" s="5">
        <v>1009798</v>
      </c>
    </row>
    <row r="32" spans="1:3" x14ac:dyDescent="0.45">
      <c r="B32" t="s">
        <v>16</v>
      </c>
      <c r="C32" s="5">
        <v>357008</v>
      </c>
    </row>
    <row r="33" spans="1:3" x14ac:dyDescent="0.45">
      <c r="A33" t="s">
        <v>2042</v>
      </c>
      <c r="C33" s="5">
        <v>2275492</v>
      </c>
    </row>
    <row r="34" spans="1:3" x14ac:dyDescent="0.45">
      <c r="A34" t="s">
        <v>26</v>
      </c>
      <c r="B34" t="s">
        <v>41</v>
      </c>
      <c r="C34" s="5">
        <v>276126</v>
      </c>
    </row>
    <row r="35" spans="1:3" x14ac:dyDescent="0.45">
      <c r="B35" t="s">
        <v>27</v>
      </c>
      <c r="C35" s="5">
        <v>377912</v>
      </c>
    </row>
    <row r="36" spans="1:3" x14ac:dyDescent="0.45">
      <c r="B36" t="s">
        <v>22</v>
      </c>
      <c r="C36" s="5">
        <v>164690</v>
      </c>
    </row>
    <row r="37" spans="1:3" x14ac:dyDescent="0.45">
      <c r="B37" t="s">
        <v>31</v>
      </c>
      <c r="C37" s="5">
        <v>1012699</v>
      </c>
    </row>
    <row r="38" spans="1:3" x14ac:dyDescent="0.45">
      <c r="B38" t="s">
        <v>16</v>
      </c>
      <c r="C38" s="5">
        <v>540954</v>
      </c>
    </row>
    <row r="39" spans="1:3" x14ac:dyDescent="0.45">
      <c r="A39" t="s">
        <v>2043</v>
      </c>
      <c r="C39" s="5">
        <v>2372381</v>
      </c>
    </row>
    <row r="40" spans="1:3" x14ac:dyDescent="0.45">
      <c r="A40" t="s">
        <v>36</v>
      </c>
      <c r="B40" t="s">
        <v>41</v>
      </c>
      <c r="C40" s="5">
        <v>698345</v>
      </c>
    </row>
    <row r="41" spans="1:3" x14ac:dyDescent="0.45">
      <c r="B41" t="s">
        <v>27</v>
      </c>
      <c r="C41" s="5">
        <v>1162918</v>
      </c>
    </row>
    <row r="42" spans="1:3" x14ac:dyDescent="0.45">
      <c r="B42" t="s">
        <v>22</v>
      </c>
      <c r="C42" s="5">
        <v>620620</v>
      </c>
    </row>
    <row r="43" spans="1:3" x14ac:dyDescent="0.45">
      <c r="B43" t="s">
        <v>31</v>
      </c>
      <c r="C43" s="5">
        <v>2243948</v>
      </c>
    </row>
    <row r="44" spans="1:3" x14ac:dyDescent="0.45">
      <c r="B44" t="s">
        <v>16</v>
      </c>
      <c r="C44" s="5">
        <v>626361</v>
      </c>
    </row>
    <row r="45" spans="1:3" x14ac:dyDescent="0.45">
      <c r="A45" t="s">
        <v>2044</v>
      </c>
      <c r="C45" s="5">
        <v>5352192</v>
      </c>
    </row>
    <row r="46" spans="1:3" x14ac:dyDescent="0.45">
      <c r="A46" t="s">
        <v>2037</v>
      </c>
      <c r="C46" s="5">
        <v>12643099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Data</vt:lpstr>
      <vt:lpstr>DASHBOARD</vt:lpstr>
      <vt:lpstr>Pivot 1 Column Chart</vt:lpstr>
      <vt:lpstr>Pivot 2 Bar Chart</vt:lpstr>
      <vt:lpstr>Pivot 3 Line Chart</vt:lpstr>
      <vt:lpstr>Pivot 4 Area Chart</vt:lpstr>
      <vt:lpstr>Pivot 5 Pie Chart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DEV CHAUHAN</cp:lastModifiedBy>
  <dcterms:created xsi:type="dcterms:W3CDTF">2015-06-05T18:17:20Z</dcterms:created>
  <dcterms:modified xsi:type="dcterms:W3CDTF">2026-09-02T16:21:00Z</dcterms:modified>
</cp:coreProperties>
</file>